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Grille" sheetId="2" state="visible" r:id="rId2"/>
    <sheet xmlns:r="http://schemas.openxmlformats.org/officeDocument/2006/relationships" name="Méthodolog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47B3"/>
      </patternFill>
    </fill>
    <fill>
      <patternFill patternType="solid">
        <fgColor rgb="00FBE0E0"/>
      </patternFill>
    </fill>
    <fill>
      <patternFill patternType="solid">
        <fgColor rgb="00DDF3E4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Audit RGAA 4.1.2 — Nicephos — site public, démo locale http://127.0.0.1:3091 (thème Atelier) et production https://www.nicephos.art (thème Nicephos nuit), bureau 1440×900, Pixel 7, 320 px ; grille automatique du 15/10 complétée à la main le 16/10/2026</t>
        </is>
      </c>
    </row>
    <row r="2">
      <c r="A2" t="inlineStr">
        <is>
          <t>Date : 2026-10-16 · Sources : 2</t>
        </is>
      </c>
    </row>
    <row r="3">
      <c r="A3" t="inlineStr">
        <is>
          <t>Statuts : C conforme · NC non conforme · NA non applicable · NT non testé (à compléter à la main)</t>
        </is>
      </c>
    </row>
    <row r="5">
      <c r="A5" s="2" t="inlineStr">
        <is>
          <t>Conformes (C)</t>
        </is>
      </c>
      <c r="B5">
        <f>COUNTIF(Grille!E:E,"C")</f>
        <v/>
      </c>
    </row>
    <row r="6">
      <c r="A6" s="2" t="inlineStr">
        <is>
          <t>Non conformes (NC)</t>
        </is>
      </c>
      <c r="B6">
        <f>COUNTIF(Grille!E:E,"NC")</f>
        <v/>
      </c>
    </row>
    <row r="7">
      <c r="A7" s="2" t="inlineStr">
        <is>
          <t>Non applicables (NA)</t>
        </is>
      </c>
      <c r="B7">
        <f>COUNTIF(Grille!E:E,"NA")</f>
        <v/>
      </c>
    </row>
    <row r="8">
      <c r="A8" s="2" t="inlineStr">
        <is>
          <t>Non testés (NT)</t>
        </is>
      </c>
      <c r="B8">
        <f>COUNTIF(Grille!E:E,"NT")</f>
        <v/>
      </c>
    </row>
    <row r="9">
      <c r="A9" s="2" t="inlineStr">
        <is>
          <t>Taux de conformité</t>
        </is>
      </c>
      <c r="B9" s="3">
        <f>IF(B8&gt;0,"non calculable : "&amp;B8&amp;" critère(s) non testé(s)",IF(B5+B6=0,"—",B5/(B5+B6)))</f>
        <v/>
      </c>
    </row>
    <row r="11">
      <c r="A11" t="inlineStr">
        <is>
          <t>Le taux (C / (C + NC)) ne se calcule que lorsque plus aucun critère n'est NT : complétez la grille.</t>
        </is>
      </c>
    </row>
    <row r="13">
      <c r="A13" s="2" t="inlineStr">
        <is>
          <t>Sources auditées</t>
        </is>
      </c>
    </row>
    <row r="14">
      <c r="A14" t="inlineStr">
        <is>
          <t>web</t>
        </is>
      </c>
      <c r="B14" t="inlineStr">
        <is>
          <t>http://127.0.0.1:3091 (démo, 34 états)</t>
        </is>
      </c>
    </row>
    <row r="15">
      <c r="A15" t="inlineStr">
        <is>
          <t>web</t>
        </is>
      </c>
      <c r="B15" t="inlineStr">
        <is>
          <t>https://www.nicephos.art (production, 26 pages + 5 chargements de mesure)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60" customWidth="1" min="4" max="4"/>
    <col width="8" customWidth="1" min="5" max="5"/>
    <col width="60" customWidth="1" min="6" max="6"/>
    <col width="30" customWidth="1" min="7" max="7"/>
    <col width="50" customWidth="1" min="8" max="8"/>
    <col width="30" customWidth="1" min="9" max="9"/>
  </cols>
  <sheetData>
    <row r="1">
      <c r="A1" s="4" t="inlineStr">
        <is>
          <t>Critère</t>
        </is>
      </c>
      <c r="B1" s="4" t="inlineStr">
        <is>
          <t>Thématique</t>
        </is>
      </c>
      <c r="C1" s="4" t="inlineStr">
        <is>
          <t>Niveau</t>
        </is>
      </c>
      <c r="D1" s="4" t="inlineStr">
        <is>
          <t>Intitulé</t>
        </is>
      </c>
      <c r="E1" s="4" t="inlineStr">
        <is>
          <t>Statut</t>
        </is>
      </c>
      <c r="F1" s="4" t="inlineStr">
        <is>
          <t>Justification (tests automatiques + manuels)</t>
        </is>
      </c>
      <c r="G1" s="4" t="inlineStr">
        <is>
          <t>Où</t>
        </is>
      </c>
      <c r="H1" s="4" t="inlineStr">
        <is>
          <t>Correction proposée</t>
        </is>
      </c>
      <c r="I1" s="4" t="inlineStr">
        <is>
          <t>Commentaire auditeur</t>
        </is>
      </c>
    </row>
    <row r="2">
      <c r="A2" t="inlineStr">
        <is>
          <t>1.1</t>
        </is>
      </c>
      <c r="B2" t="inlineStr">
        <is>
          <t>Images</t>
        </is>
      </c>
      <c r="C2" t="inlineStr">
        <is>
          <t>A</t>
        </is>
      </c>
      <c r="D2" s="5" t="inlineStr">
        <is>
          <t>Chaque image porteuse d’information a-t-elle une alternative textuelle ?</t>
        </is>
      </c>
      <c r="E2" s="6" t="inlineStr">
        <is>
          <t>NC</t>
        </is>
      </c>
      <c r="F2" s="5" t="inlineStr">
        <is>
          <t>Toutes les &lt;img&gt; ont un alt et les SVG d'icône sont aria-hidden, sauf le QR code de la fenêtre et de la page « Partager » : &lt;svg&gt; en ligne sans role="img", sans alternative et sans aria-hidden (sortie brute de la bibliothèque QR). Il est commenté par le texte voisin (« Scannez pour l'ouvrir… ») : c'est une image porteuse d'information.</t>
        </is>
      </c>
      <c r="G2" s="5" t="inlineStr">
        <is>
          <t>démo+prod : /photo/…/partager, fenêtre Partager de chaque photo (views/_share.eta:19)</t>
        </is>
      </c>
      <c r="H2" s="5" t="inlineStr">
        <is>
          <t>Ajouter role="img" et aria-label="QR code vers la page de la photo" au &lt;svg&gt; du QR (ou aria-hidden="true" si l'on choisit de le traiter comme redondant avec le lien affiché).</t>
        </is>
      </c>
      <c r="I2" t="inlineStr">
        <is>
          <t>Camille Arnaud, 16/10/2026</t>
        </is>
      </c>
    </row>
    <row r="3">
      <c r="A3" t="inlineStr">
        <is>
          <t>1.2</t>
        </is>
      </c>
      <c r="B3" t="inlineStr">
        <is>
          <t>Images</t>
        </is>
      </c>
      <c r="C3" t="inlineStr">
        <is>
          <t>A</t>
        </is>
      </c>
      <c r="D3" s="5" t="inlineStr">
        <is>
          <t>Chaque image de décoration est-elle correctement ignorée par les technologies d’assistance ?</t>
        </is>
      </c>
      <c r="E3" s="7" t="inlineStr">
        <is>
          <t>C</t>
        </is>
      </c>
      <c r="F3" s="5" t="inlineStr">
        <is>
          <t>Images de décoration correctement ignorées : vignettes dans des liens déjà titrés (alt=""), drapeaux à côté du nom de la langue, photos de l'ouverture (titre en légende juste dessous), aperçus des séries (aria-hidden), miniature de la carte de partage, icônes SVG aria-hidden. Vérifié dans l'arbre d'accessibilité (aria/*.txt).</t>
        </is>
      </c>
      <c r="G3" s="5" t="inlineStr">
        <is>
          <t>toutes les pages de l'échantillon</t>
        </is>
      </c>
      <c r="H3" s="5" t="inlineStr"/>
      <c r="I3" t="inlineStr">
        <is>
          <t>Camille Arnaud, 16/10/2026</t>
        </is>
      </c>
    </row>
    <row r="4">
      <c r="A4" t="inlineStr">
        <is>
          <t>1.3</t>
        </is>
      </c>
      <c r="B4" t="inlineStr">
        <is>
          <t>Images</t>
        </is>
      </c>
      <c r="C4" t="inlineStr">
        <is>
          <t>A</t>
        </is>
      </c>
      <c r="D4" s="5" t="inlineStr">
        <is>
          <t>Pour chaque image porteuse d’information ayant une alternative textuelle, cette alternative est-elle pertinente (hors cas particuliers) ?</t>
        </is>
      </c>
      <c r="E4" s="6" t="inlineStr">
        <is>
          <t>NC</t>
        </is>
      </c>
      <c r="F4" s="5" t="inlineStr">
        <is>
          <t>Alternative = titre de la photo (identification de l'œuvre, acceptable). Mais en production la « photo » /photo/logo-nicephos-fond-noir-2x est une image texte (rhinocéros + « NICEPHOS PHOTOGRAPHY GALLERY ») dont l'alternative est « Bienvenue! Hi ! Hallo! » : le texte de l'image n'est pas restitué. Elle est aussi la 1re diapositive de l'accueil (lien « Voir la photo »).</t>
        </is>
      </c>
      <c r="G4" s="5" t="inlineStr">
        <is>
          <t>prod : /photo/logo-nicephos-fond-noir-2x, accueil (1re diapositive)</t>
        </is>
      </c>
      <c r="H4" s="5" t="inlineStr">
        <is>
          <t>Pour une image contenant du texte, l'alternative reprend ce texte (« Nicephos, photography gallery — logo au rhinocéros ») ; mieux : retirer le logo de la photothèque et le servir comme logo. À terme, champ « texte de remplacement » distinct du titre (la description suggérée Florence-2 peut l'amorcer).</t>
        </is>
      </c>
      <c r="I4" t="inlineStr">
        <is>
          <t>Camille Arnaud, 16/10/2026</t>
        </is>
      </c>
    </row>
    <row r="5">
      <c r="A5" t="inlineStr">
        <is>
          <t>1.4</t>
        </is>
      </c>
      <c r="B5" t="inlineStr">
        <is>
          <t>Images</t>
        </is>
      </c>
      <c r="C5" t="inlineStr">
        <is>
          <t>A</t>
        </is>
      </c>
      <c r="D5" s="5" t="inlineStr">
        <is>
          <t>Pour chaque image utilisée comme CAPTCHA ou comme image-test, ayant une alternative textuelle, cette alternative permet-elle d’identifier la nature et la fonction de l’image ?</t>
        </is>
      </c>
      <c r="E5" s="8" t="inlineStr">
        <is>
          <t>NA</t>
        </is>
      </c>
      <c r="F5" s="5" t="inlineStr">
        <is>
          <t>Aucun CAPTCHA ni image de test (le piège à robots est un champ masqué, pas une image).</t>
        </is>
      </c>
      <c r="G5" s="5" t="inlineStr"/>
      <c r="H5" s="5" t="inlineStr"/>
      <c r="I5" t="inlineStr">
        <is>
          <t>Camille Arnaud, 16/10/2026</t>
        </is>
      </c>
    </row>
    <row r="6">
      <c r="A6" t="inlineStr">
        <is>
          <t>1.5</t>
        </is>
      </c>
      <c r="B6" t="inlineStr">
        <is>
          <t>Images</t>
        </is>
      </c>
      <c r="C6" t="inlineStr">
        <is>
          <t>A</t>
        </is>
      </c>
      <c r="D6" s="5" t="inlineStr">
        <is>
          <t>Pour chaque image utilisée comme CAPTCHA, une solution d’accès alternatif au contenu ou à la fonction du CAPTCHA est-elle présente ?</t>
        </is>
      </c>
      <c r="E6" s="8" t="inlineStr">
        <is>
          <t>NA</t>
        </is>
      </c>
      <c r="F6" s="5" t="inlineStr">
        <is>
          <t>Aucun CAPTCHA.</t>
        </is>
      </c>
      <c r="G6" s="5" t="inlineStr"/>
      <c r="H6" s="5" t="inlineStr"/>
      <c r="I6" t="inlineStr">
        <is>
          <t>Camille Arnaud, 16/10/2026</t>
        </is>
      </c>
    </row>
    <row r="7">
      <c r="A7" t="inlineStr">
        <is>
          <t>1.6</t>
        </is>
      </c>
      <c r="B7" t="inlineStr">
        <is>
          <t>Images</t>
        </is>
      </c>
      <c r="C7" t="inlineStr">
        <is>
          <t>A</t>
        </is>
      </c>
      <c r="D7" s="5" t="inlineStr">
        <is>
          <t>Chaque image porteuse d’information a-t-elle, si nécessaire, une description détaillée ?</t>
        </is>
      </c>
      <c r="E7" s="7" t="inlineStr">
        <is>
          <t>C</t>
        </is>
      </c>
      <c r="F7" s="5" t="inlineStr">
        <is>
          <t>Images complexes : la carte du monde est doublée par la liste des lieux (h2 par ville, photos), la carte d'un voyage par « Jour après jour », la petite carte de la page photo par sa légende et « À proximité ». Descriptions adjacentes.</t>
        </is>
      </c>
      <c r="G7" s="5" t="inlineStr">
        <is>
          <t>démo+prod : /carte, /voyage/…, pages photo</t>
        </is>
      </c>
      <c r="H7" s="5" t="inlineStr"/>
      <c r="I7" t="inlineStr">
        <is>
          <t>Camille Arnaud, 16/10/2026</t>
        </is>
      </c>
    </row>
    <row r="8">
      <c r="A8" t="inlineStr">
        <is>
          <t>1.7</t>
        </is>
      </c>
      <c r="B8" t="inlineStr">
        <is>
          <t>Images</t>
        </is>
      </c>
      <c r="C8" t="inlineStr">
        <is>
          <t>A</t>
        </is>
      </c>
      <c r="D8" s="5" t="inlineStr">
        <is>
          <t>Pour chaque image porteuse d’information ayant une description détaillée, cette description est-elle pertinente ?</t>
        </is>
      </c>
      <c r="E8" s="7" t="inlineStr">
        <is>
          <t>C</t>
        </is>
      </c>
      <c r="F8" s="5" t="inlineStr">
        <is>
          <t>Les descriptions détaillées (listes de lieux, d'étapes) reprennent toute l'information des cartes (lieux, nombres de photos, dates).</t>
        </is>
      </c>
      <c r="G8" s="5" t="inlineStr">
        <is>
          <t>démo+prod</t>
        </is>
      </c>
      <c r="H8" s="5" t="inlineStr"/>
      <c r="I8" t="inlineStr">
        <is>
          <t>Camille Arnaud, 16/10/2026</t>
        </is>
      </c>
    </row>
    <row r="9">
      <c r="A9" t="inlineStr">
        <is>
          <t>1.8</t>
        </is>
      </c>
      <c r="B9" t="inlineStr">
        <is>
          <t>Images</t>
        </is>
      </c>
      <c r="C9" t="inlineStr">
        <is>
          <t>AA</t>
        </is>
      </c>
      <c r="D9" s="5" t="inlineStr">
        <is>
          <t>Chaque image texte porteuse d’information, en l’absence d’un mécanisme de remplacement, doit si possible être remplacée par du texte stylé. Cette règle est-elle respectée (hors cas particuliers) ?</t>
        </is>
      </c>
      <c r="E9" s="7" t="inlineStr">
        <is>
          <t>C</t>
        </is>
      </c>
      <c r="F9" s="5" t="inlineStr">
        <is>
          <t>Pas d'image texte hors logos : emblème en masque CSS doublé du mot « Nicephos », logotype role="img" + aria-label (À propos). Le logo publié comme photo relève de l'exception « logo » (son alternative est traitée en 1.3).</t>
        </is>
      </c>
      <c r="G9" s="5" t="inlineStr">
        <is>
          <t>démo+prod</t>
        </is>
      </c>
      <c r="H9" s="5" t="inlineStr"/>
      <c r="I9" t="inlineStr">
        <is>
          <t>Camille Arnaud, 16/10/2026</t>
        </is>
      </c>
    </row>
    <row r="10">
      <c r="A10" t="inlineStr">
        <is>
          <t>1.9</t>
        </is>
      </c>
      <c r="B10" t="inlineStr">
        <is>
          <t>Images</t>
        </is>
      </c>
      <c r="C10" t="inlineStr">
        <is>
          <t>A</t>
        </is>
      </c>
      <c r="D10" s="5" t="inlineStr">
        <is>
          <t>Chaque légende d’image est-elle, si nécessaire, correctement reliée à l’image correspondante ?</t>
        </is>
      </c>
      <c r="E10" s="6" t="inlineStr">
        <is>
          <t>NC</t>
        </is>
      </c>
      <c r="F10" s="5" t="inlineStr">
        <is>
          <t>Images avec légende dans &lt;figure&gt;/&lt;figcaption&gt; sans role="figure"/"group" ni aria-label reprenant la légende (test 1.9.1/1.9.4) : photo offerte, carte du monde, petite carte de la page photo, carte d'un voyage.</t>
        </is>
      </c>
      <c r="G10" s="5" t="inlineStr">
        <is>
          <t>démo+prod : /pour-vous/… (views/gift.eta:14), /carte (views/carte.eta:15), pages photo (views/photo.eta:28), /voyage/… (views/trip.eta:22)</t>
        </is>
      </c>
      <c r="H10" s="5" t="inlineStr">
        <is>
          <t>Sur chaque &lt;figure&gt; : role="group" et aria-label identique au texte du &lt;figcaption&gt;.</t>
        </is>
      </c>
      <c r="I10" t="inlineStr">
        <is>
          <t>Camille Arnaud, 16/10/2026</t>
        </is>
      </c>
    </row>
    <row r="11">
      <c r="A11" t="inlineStr">
        <is>
          <t>2.1</t>
        </is>
      </c>
      <c r="B11" t="inlineStr">
        <is>
          <t>Cadres</t>
        </is>
      </c>
      <c r="C11" t="inlineStr">
        <is>
          <t>A</t>
        </is>
      </c>
      <c r="D11" s="5" t="inlineStr">
        <is>
          <t>Chaque cadre a-t-il un titre de cadre ?</t>
        </is>
      </c>
      <c r="E11" s="8" t="inlineStr">
        <is>
          <t>NA</t>
        </is>
      </c>
      <c r="F11" s="5" t="inlineStr">
        <is>
          <t>Aucun cadre (iframe) sur le site public.</t>
        </is>
      </c>
      <c r="G11" s="5" t="inlineStr"/>
      <c r="H11" s="5" t="inlineStr"/>
      <c r="I11" t="inlineStr">
        <is>
          <t>Camille Arnaud, 16/10/2026</t>
        </is>
      </c>
    </row>
    <row r="12">
      <c r="A12" t="inlineStr">
        <is>
          <t>2.2</t>
        </is>
      </c>
      <c r="B12" t="inlineStr">
        <is>
          <t>Cadres</t>
        </is>
      </c>
      <c r="C12" t="inlineStr">
        <is>
          <t>A</t>
        </is>
      </c>
      <c r="D12" s="5" t="inlineStr">
        <is>
          <t>Pour chaque cadre ayant un titre de cadre, ce titre de cadre est-il pertinent ?</t>
        </is>
      </c>
      <c r="E12" s="8" t="inlineStr">
        <is>
          <t>NA</t>
        </is>
      </c>
      <c r="F12" s="5" t="inlineStr">
        <is>
          <t>Aucun cadre.</t>
        </is>
      </c>
      <c r="G12" s="5" t="inlineStr"/>
      <c r="H12" s="5" t="inlineStr"/>
      <c r="I12" t="inlineStr">
        <is>
          <t>Camille Arnaud, 16/10/2026</t>
        </is>
      </c>
    </row>
    <row r="13">
      <c r="A13" t="inlineStr">
        <is>
          <t>3.1</t>
        </is>
      </c>
      <c r="B13" t="inlineStr">
        <is>
          <t>Couleurs</t>
        </is>
      </c>
      <c r="C13" t="inlineStr">
        <is>
          <t>A</t>
        </is>
      </c>
      <c r="D13" s="5" t="inlineStr">
        <is>
          <t>Dans chaque page web, l’information ne doit pas être donnée uniquement par la couleur. Cette règle est-elle respectée ?</t>
        </is>
      </c>
      <c r="E13" s="7" t="inlineStr">
        <is>
          <t>C</t>
        </is>
      </c>
      <c r="F13" s="5" t="inlineStr">
        <is>
          <t>États portés aussi par autre chose que la couleur : italique + pastille (regard actif), italique + numéro sable (série active), soulignement (langue, ordre), cadre (vignette courante), aria-current ; page active du menu : écart de luminosité 3,9:1 + aria-current.</t>
        </is>
      </c>
      <c r="G13" s="5" t="inlineStr">
        <is>
          <t>démo+prod</t>
        </is>
      </c>
      <c r="H13" s="5" t="inlineStr"/>
      <c r="I13" t="inlineStr">
        <is>
          <t>Camille Arnaud, 16/10/2026</t>
        </is>
      </c>
    </row>
    <row r="14">
      <c r="A14" t="inlineStr">
        <is>
          <t>3.2</t>
        </is>
      </c>
      <c r="B14" t="inlineStr">
        <is>
          <t>Couleurs</t>
        </is>
      </c>
      <c r="C14" t="inlineStr">
        <is>
          <t>AA</t>
        </is>
      </c>
      <c r="D14" s="5" t="inlineStr">
        <is>
          <t>Dans chaque page web, le contraste entre la couleur du texte et la couleur de son arrière-plan est-il suffisamment élevé (hors cas particuliers) ?</t>
        </is>
      </c>
      <c r="E14" s="6" t="inlineStr">
        <is>
          <t>NC</t>
        </is>
      </c>
      <c r="F14" s="5" t="inlineStr">
        <is>
          <t>Texte du menu, du sélecteur de langue et des métadonnées posé sur les photos de l'ouverture : en production 10 textes sur 42 sous 4,5:1 au bureau (pire 3,4:1), 14/36 sur Pixel 7 (pire 1,9:1), 18/36 à 320 px (pire 1,0:1 : « FR » invisible), ombre portée comprise. Sur téléphone le menu passe sur deux lignes, sous le voile du haut (26 % de la hauteur). Titres et « Voir la photo » : conformes (≥ 6:1). Textes sur fond uni : conformes (sonde + axe).</t>
        </is>
      </c>
      <c r="G14" s="5" t="inlineStr">
        <is>
          <t>prod : accueil, séries, photographes (même ouverture) ; démo : idem (pire 1,0:1 à 320 px)</t>
        </is>
      </c>
      <c r="H14" s="5" t="inlineStr">
        <is>
          <t>Voile du haut fixé en pixels (≈ 180 px, alpha ≥ 0,75) plutôt qu'en % de hauteur ; ou fond semi-opaque sous la barre de menu ; couleur du menu --dark-ink (pas --dark-mute) sur l'ouverture ; vérifier chaque nouvelle photo d'ouverture avec la mesure fournie.</t>
        </is>
      </c>
      <c r="I14" t="inlineStr">
        <is>
          <t>Camille Arnaud, 16/10/2026</t>
        </is>
      </c>
    </row>
    <row r="15">
      <c r="A15" t="inlineStr">
        <is>
          <t>3.3</t>
        </is>
      </c>
      <c r="B15" t="inlineStr">
        <is>
          <t>Couleurs</t>
        </is>
      </c>
      <c r="C15" t="inlineStr">
        <is>
          <t>AA</t>
        </is>
      </c>
      <c r="D15" s="5" t="inlineStr">
        <is>
          <t>Dans chaque page web, les couleurs utilisées dans les composants d’interface ou les éléments graphiques porteurs d’informations sont-elles suffisamment contrastées (hors cas particuliers) ?</t>
        </is>
      </c>
      <c r="E15" s="6" t="inlineStr">
        <is>
          <t>NC</t>
        </is>
      </c>
      <c r="F15" s="5" t="inlineStr">
        <is>
          <t>Champs des formulaires publics identifiables seulement par un filet de 1 px en --rule : 1,30:1 (Atelier), 1,41:1 (Nicephos nuit), 1,33:1 (jour) contre 3:1 requis. Le champ de recherche (bordure à l'encre) est conforme. La revue d'octobre annonçait des bordures à 3,2:1 : non appliqué ici.</t>
        </is>
      </c>
      <c r="G15" s="5" t="inlineStr">
        <is>
          <t>démo+prod : /bonjour, /photo/…/signaler (public/css/site.css:242-244)</t>
        </is>
      </c>
      <c r="H15" s="5" t="inlineStr">
        <is>
          <t>Bordure des champs en --mute (5,2:1 / 7,4:1) ou un fond --frame + bordure basse --ink ; la zone de saisie doit se voir sans le libellé.</t>
        </is>
      </c>
      <c r="I15" t="inlineStr">
        <is>
          <t>Camille Arnaud, 16/10/2026</t>
        </is>
      </c>
    </row>
    <row r="16">
      <c r="A16" t="inlineStr">
        <is>
          <t>4.1</t>
        </is>
      </c>
      <c r="B16" t="inlineStr">
        <is>
          <t>Multimédia</t>
        </is>
      </c>
      <c r="C16" t="inlineStr">
        <is>
          <t>A</t>
        </is>
      </c>
      <c r="D16" s="5" t="inlineStr">
        <is>
          <t>Chaque média temporel pré-enregistré a-t-il, si nécessaire, une transcription textuelle ou une audiodescription (hors cas particuliers) ?</t>
        </is>
      </c>
      <c r="E16" s="8" t="inlineStr">
        <is>
          <t>NA</t>
        </is>
      </c>
      <c r="F16" s="5" t="inlineStr">
        <is>
          <t>Aucun média temporel (vidéo, audio) ; le diaporama de l'ouverture est traité en 13.8.</t>
        </is>
      </c>
      <c r="G16" s="5" t="inlineStr"/>
      <c r="H16" s="5" t="inlineStr"/>
      <c r="I16" t="inlineStr">
        <is>
          <t>Camille Arnaud, 16/10/2026</t>
        </is>
      </c>
    </row>
    <row r="17">
      <c r="A17" t="inlineStr">
        <is>
          <t>4.2</t>
        </is>
      </c>
      <c r="B17" t="inlineStr">
        <is>
          <t>Multimédia</t>
        </is>
      </c>
      <c r="C17" t="inlineStr">
        <is>
          <t>A</t>
        </is>
      </c>
      <c r="D17" s="5" t="inlineStr">
        <is>
          <t>Pour chaque média temporel pré-enregistré ayant une transcription textuelle ou une audiodescription synchronisée, celles-ci sont-elles pertinentes (hors cas particuliers) ?</t>
        </is>
      </c>
      <c r="E17" s="8" t="inlineStr">
        <is>
          <t>NA</t>
        </is>
      </c>
      <c r="F17" s="5" t="inlineStr">
        <is>
          <t>Aucun média temporel (vidéo, audio) ; le diaporama de l'ouverture est traité en 13.8.</t>
        </is>
      </c>
      <c r="G17" s="5" t="inlineStr"/>
      <c r="H17" s="5" t="inlineStr"/>
      <c r="I17" t="inlineStr">
        <is>
          <t>Camille Arnaud, 16/10/2026</t>
        </is>
      </c>
    </row>
    <row r="18">
      <c r="A18" t="inlineStr">
        <is>
          <t>4.3</t>
        </is>
      </c>
      <c r="B18" t="inlineStr">
        <is>
          <t>Multimédia</t>
        </is>
      </c>
      <c r="C18" t="inlineStr">
        <is>
          <t>A</t>
        </is>
      </c>
      <c r="D18" s="5" t="inlineStr">
        <is>
          <t>Chaque média temporel synchronisé pré-enregistré a-t-il, si nécessaire, des sous-titres synchronisés (hors cas particuliers) ?</t>
        </is>
      </c>
      <c r="E18" s="8" t="inlineStr">
        <is>
          <t>NA</t>
        </is>
      </c>
      <c r="F18" s="5" t="inlineStr">
        <is>
          <t>Aucun média temporel (vidéo, audio) ; le diaporama de l'ouverture est traité en 13.8.</t>
        </is>
      </c>
      <c r="G18" s="5" t="inlineStr"/>
      <c r="H18" s="5" t="inlineStr"/>
      <c r="I18" t="inlineStr">
        <is>
          <t>Camille Arnaud, 16/10/2026</t>
        </is>
      </c>
    </row>
    <row r="19">
      <c r="A19" t="inlineStr">
        <is>
          <t>4.4</t>
        </is>
      </c>
      <c r="B19" t="inlineStr">
        <is>
          <t>Multimédia</t>
        </is>
      </c>
      <c r="C19" t="inlineStr">
        <is>
          <t>A</t>
        </is>
      </c>
      <c r="D19" s="5" t="inlineStr">
        <is>
          <t>Pour chaque média temporel synchronisé pré-enregistré ayant des sous-titres synchronisés, ces sous-titres sont-ils pertinents ?</t>
        </is>
      </c>
      <c r="E19" s="8" t="inlineStr">
        <is>
          <t>NA</t>
        </is>
      </c>
      <c r="F19" s="5" t="inlineStr">
        <is>
          <t>Aucun média temporel (vidéo, audio) ; le diaporama de l'ouverture est traité en 13.8.</t>
        </is>
      </c>
      <c r="G19" s="5" t="inlineStr"/>
      <c r="H19" s="5" t="inlineStr"/>
      <c r="I19" t="inlineStr">
        <is>
          <t>Camille Arnaud, 16/10/2026</t>
        </is>
      </c>
    </row>
    <row r="20">
      <c r="A20" t="inlineStr">
        <is>
          <t>4.5</t>
        </is>
      </c>
      <c r="B20" t="inlineStr">
        <is>
          <t>Multimédia</t>
        </is>
      </c>
      <c r="C20" t="inlineStr">
        <is>
          <t>AA</t>
        </is>
      </c>
      <c r="D20" s="5" t="inlineStr">
        <is>
          <t>Chaque média temporel pré-enregistré a-t-il, si nécessaire, une audiodescription synchronisée (hors cas particuliers) ?</t>
        </is>
      </c>
      <c r="E20" s="8" t="inlineStr">
        <is>
          <t>NA</t>
        </is>
      </c>
      <c r="F20" s="5" t="inlineStr">
        <is>
          <t>Aucun média temporel (vidéo, audio) ; le diaporama de l'ouverture est traité en 13.8.</t>
        </is>
      </c>
      <c r="G20" s="5" t="inlineStr"/>
      <c r="H20" s="5" t="inlineStr"/>
      <c r="I20" t="inlineStr">
        <is>
          <t>Camille Arnaud, 16/10/2026</t>
        </is>
      </c>
    </row>
    <row r="21">
      <c r="A21" t="inlineStr">
        <is>
          <t>4.6</t>
        </is>
      </c>
      <c r="B21" t="inlineStr">
        <is>
          <t>Multimédia</t>
        </is>
      </c>
      <c r="C21" t="inlineStr">
        <is>
          <t>AA</t>
        </is>
      </c>
      <c r="D21" s="5" t="inlineStr">
        <is>
          <t>Pour chaque média temporel pré-enregistré ayant une audiodescription synchronisée, celle-ci est-elle pertinente ?</t>
        </is>
      </c>
      <c r="E21" s="8" t="inlineStr">
        <is>
          <t>NA</t>
        </is>
      </c>
      <c r="F21" s="5" t="inlineStr">
        <is>
          <t>Aucun média temporel (vidéo, audio) ; le diaporama de l'ouverture est traité en 13.8.</t>
        </is>
      </c>
      <c r="G21" s="5" t="inlineStr"/>
      <c r="H21" s="5" t="inlineStr"/>
      <c r="I21" t="inlineStr">
        <is>
          <t>Camille Arnaud, 16/10/2026</t>
        </is>
      </c>
    </row>
    <row r="22">
      <c r="A22" t="inlineStr">
        <is>
          <t>4.7</t>
        </is>
      </c>
      <c r="B22" t="inlineStr">
        <is>
          <t>Multimédia</t>
        </is>
      </c>
      <c r="C22" t="inlineStr">
        <is>
          <t>A</t>
        </is>
      </c>
      <c r="D22" s="5" t="inlineStr">
        <is>
          <t>Chaque média temporel est-il clairement identifiable (hors cas particuliers) ?</t>
        </is>
      </c>
      <c r="E22" s="8" t="inlineStr">
        <is>
          <t>NA</t>
        </is>
      </c>
      <c r="F22" s="5" t="inlineStr">
        <is>
          <t>Aucun média temporel (vidéo, audio) ; le diaporama de l'ouverture est traité en 13.8.</t>
        </is>
      </c>
      <c r="G22" s="5" t="inlineStr"/>
      <c r="H22" s="5" t="inlineStr"/>
      <c r="I22" t="inlineStr">
        <is>
          <t>Camille Arnaud, 16/10/2026</t>
        </is>
      </c>
    </row>
    <row r="23">
      <c r="A23" t="inlineStr">
        <is>
          <t>4.8</t>
        </is>
      </c>
      <c r="B23" t="inlineStr">
        <is>
          <t>Multimédia</t>
        </is>
      </c>
      <c r="C23" t="inlineStr">
        <is>
          <t>A</t>
        </is>
      </c>
      <c r="D23" s="5" t="inlineStr">
        <is>
          <t>Chaque média non temporel a-t-il, si nécessaire, une alternative (hors cas particuliers) ?</t>
        </is>
      </c>
      <c r="E23" s="8" t="inlineStr">
        <is>
          <t>NA</t>
        </is>
      </c>
      <c r="F23" s="5" t="inlineStr">
        <is>
          <t>Aucun média temporel (vidéo, audio) ; le diaporama de l'ouverture est traité en 13.8.</t>
        </is>
      </c>
      <c r="G23" s="5" t="inlineStr"/>
      <c r="H23" s="5" t="inlineStr"/>
      <c r="I23" t="inlineStr">
        <is>
          <t>Camille Arnaud, 16/10/2026</t>
        </is>
      </c>
    </row>
    <row r="24">
      <c r="A24" t="inlineStr">
        <is>
          <t>4.9</t>
        </is>
      </c>
      <c r="B24" t="inlineStr">
        <is>
          <t>Multimédia</t>
        </is>
      </c>
      <c r="C24" t="inlineStr">
        <is>
          <t>A</t>
        </is>
      </c>
      <c r="D24" s="5" t="inlineStr">
        <is>
          <t>Pour chaque média non temporel ayant une alternative, cette alternative est-elle pertinente ?</t>
        </is>
      </c>
      <c r="E24" s="8" t="inlineStr">
        <is>
          <t>NA</t>
        </is>
      </c>
      <c r="F24" s="5" t="inlineStr">
        <is>
          <t>Aucun média temporel (vidéo, audio) ; le diaporama de l'ouverture est traité en 13.8.</t>
        </is>
      </c>
      <c r="G24" s="5" t="inlineStr"/>
      <c r="H24" s="5" t="inlineStr"/>
      <c r="I24" t="inlineStr">
        <is>
          <t>Camille Arnaud, 16/10/2026</t>
        </is>
      </c>
    </row>
    <row r="25">
      <c r="A25" t="inlineStr">
        <is>
          <t>4.10</t>
        </is>
      </c>
      <c r="B25" t="inlineStr">
        <is>
          <t>Multimédia</t>
        </is>
      </c>
      <c r="C25" t="inlineStr">
        <is>
          <t>A</t>
        </is>
      </c>
      <c r="D25" s="5" t="inlineStr">
        <is>
          <t>Chaque son déclenché automatiquement est-il contrôlable par l’utilisateur ?</t>
        </is>
      </c>
      <c r="E25" s="8" t="inlineStr">
        <is>
          <t>NA</t>
        </is>
      </c>
      <c r="F25" s="5" t="inlineStr">
        <is>
          <t>Aucun média temporel (vidéo, audio) ; le diaporama de l'ouverture est traité en 13.8.</t>
        </is>
      </c>
      <c r="G25" s="5" t="inlineStr"/>
      <c r="H25" s="5" t="inlineStr"/>
      <c r="I25" t="inlineStr">
        <is>
          <t>Camille Arnaud, 16/10/2026</t>
        </is>
      </c>
    </row>
    <row r="26">
      <c r="A26" t="inlineStr">
        <is>
          <t>4.11</t>
        </is>
      </c>
      <c r="B26" t="inlineStr">
        <is>
          <t>Multimédia</t>
        </is>
      </c>
      <c r="C26" t="inlineStr">
        <is>
          <t>A</t>
        </is>
      </c>
      <c r="D26" s="5" t="inlineStr">
        <is>
          <t>La consultation de chaque média temporel est-elle, si nécessaire, contrôlable par le clavier et tout dispositif de pointage ?</t>
        </is>
      </c>
      <c r="E26" s="8" t="inlineStr">
        <is>
          <t>NA</t>
        </is>
      </c>
      <c r="F26" s="5" t="inlineStr">
        <is>
          <t>Aucun média temporel (vidéo, audio) ; le diaporama de l'ouverture est traité en 13.8.</t>
        </is>
      </c>
      <c r="G26" s="5" t="inlineStr"/>
      <c r="H26" s="5" t="inlineStr"/>
      <c r="I26" t="inlineStr">
        <is>
          <t>Camille Arnaud, 16/10/2026</t>
        </is>
      </c>
    </row>
    <row r="27">
      <c r="A27" t="inlineStr">
        <is>
          <t>4.12</t>
        </is>
      </c>
      <c r="B27" t="inlineStr">
        <is>
          <t>Multimédia</t>
        </is>
      </c>
      <c r="C27" t="inlineStr">
        <is>
          <t>A</t>
        </is>
      </c>
      <c r="D27" s="5" t="inlineStr">
        <is>
          <t>La consultation de chaque média non temporel est-elle contrôlable par le clavier et tout dispositif de pointage ?</t>
        </is>
      </c>
      <c r="E27" s="8" t="inlineStr">
        <is>
          <t>NA</t>
        </is>
      </c>
      <c r="F27" s="5" t="inlineStr">
        <is>
          <t>Aucun média temporel (vidéo, audio) ; le diaporama de l'ouverture est traité en 13.8.</t>
        </is>
      </c>
      <c r="G27" s="5" t="inlineStr"/>
      <c r="H27" s="5" t="inlineStr"/>
      <c r="I27" t="inlineStr">
        <is>
          <t>Camille Arnaud, 16/10/2026</t>
        </is>
      </c>
    </row>
    <row r="28">
      <c r="A28" t="inlineStr">
        <is>
          <t>4.13</t>
        </is>
      </c>
      <c r="B28" t="inlineStr">
        <is>
          <t>Multimédia</t>
        </is>
      </c>
      <c r="C28" t="inlineStr">
        <is>
          <t>A</t>
        </is>
      </c>
      <c r="D28" s="5" t="inlineStr">
        <is>
          <t>Chaque média temporel et non temporel est-il compatible avec les technologies d’assistance (hors cas particuliers) ?</t>
        </is>
      </c>
      <c r="E28" s="8" t="inlineStr">
        <is>
          <t>NA</t>
        </is>
      </c>
      <c r="F28" s="5" t="inlineStr">
        <is>
          <t>Aucun média temporel (vidéo, audio) ; le diaporama de l'ouverture est traité en 13.8.</t>
        </is>
      </c>
      <c r="G28" s="5" t="inlineStr"/>
      <c r="H28" s="5" t="inlineStr"/>
      <c r="I28" t="inlineStr">
        <is>
          <t>Camille Arnaud, 16/10/2026</t>
        </is>
      </c>
    </row>
    <row r="29">
      <c r="A29" t="inlineStr">
        <is>
          <t>5.1</t>
        </is>
      </c>
      <c r="B29" t="inlineStr">
        <is>
          <t>Tableaux</t>
        </is>
      </c>
      <c r="C29" t="inlineStr">
        <is>
          <t>A</t>
        </is>
      </c>
      <c r="D29" s="5" t="inlineStr">
        <is>
          <t>Chaque tableau de données complexe a-t-il un résumé ?</t>
        </is>
      </c>
      <c r="E29" s="8" t="inlineStr">
        <is>
          <t>NA</t>
        </is>
      </c>
      <c r="F29" s="5" t="inlineStr">
        <is>
          <t>Aucun tableau sur le site public.</t>
        </is>
      </c>
      <c r="G29" s="5" t="inlineStr"/>
      <c r="H29" s="5" t="inlineStr"/>
      <c r="I29" t="inlineStr">
        <is>
          <t>Camille Arnaud, 16/10/2026</t>
        </is>
      </c>
    </row>
    <row r="30">
      <c r="A30" t="inlineStr">
        <is>
          <t>5.2</t>
        </is>
      </c>
      <c r="B30" t="inlineStr">
        <is>
          <t>Tableaux</t>
        </is>
      </c>
      <c r="C30" t="inlineStr">
        <is>
          <t>A</t>
        </is>
      </c>
      <c r="D30" s="5" t="inlineStr">
        <is>
          <t>Pour chaque tableau de données complexe ayant un résumé, celui-ci est-il pertinent ?</t>
        </is>
      </c>
      <c r="E30" s="8" t="inlineStr">
        <is>
          <t>NA</t>
        </is>
      </c>
      <c r="F30" s="5" t="inlineStr">
        <is>
          <t>Aucun tableau sur le site public.</t>
        </is>
      </c>
      <c r="G30" s="5" t="inlineStr"/>
      <c r="H30" s="5" t="inlineStr"/>
      <c r="I30" t="inlineStr">
        <is>
          <t>Camille Arnaud, 16/10/2026</t>
        </is>
      </c>
    </row>
    <row r="31">
      <c r="A31" t="inlineStr">
        <is>
          <t>5.3</t>
        </is>
      </c>
      <c r="B31" t="inlineStr">
        <is>
          <t>Tableaux</t>
        </is>
      </c>
      <c r="C31" t="inlineStr">
        <is>
          <t>A</t>
        </is>
      </c>
      <c r="D31" s="5" t="inlineStr">
        <is>
          <t>Pour chaque tableau de mise en forme, le contenu linéarisé reste-t-il compréhensible ?</t>
        </is>
      </c>
      <c r="E31" s="8" t="inlineStr">
        <is>
          <t>NA</t>
        </is>
      </c>
      <c r="F31" s="5" t="inlineStr">
        <is>
          <t>Aucun tableau sur le site public.</t>
        </is>
      </c>
      <c r="G31" s="5" t="inlineStr"/>
      <c r="H31" s="5" t="inlineStr"/>
      <c r="I31" t="inlineStr">
        <is>
          <t>Camille Arnaud, 16/10/2026</t>
        </is>
      </c>
    </row>
    <row r="32">
      <c r="A32" t="inlineStr">
        <is>
          <t>5.4</t>
        </is>
      </c>
      <c r="B32" t="inlineStr">
        <is>
          <t>Tableaux</t>
        </is>
      </c>
      <c r="C32" t="inlineStr">
        <is>
          <t>A</t>
        </is>
      </c>
      <c r="D32" s="5" t="inlineStr">
        <is>
          <t>Pour chaque tableau de données ayant un titre, le titre est-il correctement associé au tableau de données ?</t>
        </is>
      </c>
      <c r="E32" s="8" t="inlineStr">
        <is>
          <t>NA</t>
        </is>
      </c>
      <c r="F32" s="5" t="inlineStr">
        <is>
          <t>Aucun tableau sur le site public.</t>
        </is>
      </c>
      <c r="G32" s="5" t="inlineStr"/>
      <c r="H32" s="5" t="inlineStr"/>
      <c r="I32" t="inlineStr">
        <is>
          <t>Camille Arnaud, 16/10/2026</t>
        </is>
      </c>
    </row>
    <row r="33">
      <c r="A33" t="inlineStr">
        <is>
          <t>5.5</t>
        </is>
      </c>
      <c r="B33" t="inlineStr">
        <is>
          <t>Tableaux</t>
        </is>
      </c>
      <c r="C33" t="inlineStr">
        <is>
          <t>A</t>
        </is>
      </c>
      <c r="D33" s="5" t="inlineStr">
        <is>
          <t>Pour chaque tableau de données ayant un titre, celui-ci est-il pertinent ?</t>
        </is>
      </c>
      <c r="E33" s="8" t="inlineStr">
        <is>
          <t>NA</t>
        </is>
      </c>
      <c r="F33" s="5" t="inlineStr">
        <is>
          <t>Aucun tableau sur le site public.</t>
        </is>
      </c>
      <c r="G33" s="5" t="inlineStr"/>
      <c r="H33" s="5" t="inlineStr"/>
      <c r="I33" t="inlineStr">
        <is>
          <t>Camille Arnaud, 16/10/2026</t>
        </is>
      </c>
    </row>
    <row r="34">
      <c r="A34" t="inlineStr">
        <is>
          <t>5.6</t>
        </is>
      </c>
      <c r="B34" t="inlineStr">
        <is>
          <t>Tableaux</t>
        </is>
      </c>
      <c r="C34" t="inlineStr">
        <is>
          <t>A</t>
        </is>
      </c>
      <c r="D34" s="5" t="inlineStr">
        <is>
          <t>Pour chaque tableau de données, chaque en-tête de colonne et chaque en-tête de ligne sont-ils correctement déclarés ?</t>
        </is>
      </c>
      <c r="E34" s="8" t="inlineStr">
        <is>
          <t>NA</t>
        </is>
      </c>
      <c r="F34" s="5" t="inlineStr">
        <is>
          <t>Aucun tableau sur le site public.</t>
        </is>
      </c>
      <c r="G34" s="5" t="inlineStr"/>
      <c r="H34" s="5" t="inlineStr"/>
      <c r="I34" t="inlineStr">
        <is>
          <t>Camille Arnaud, 16/10/2026</t>
        </is>
      </c>
    </row>
    <row r="35">
      <c r="A35" t="inlineStr">
        <is>
          <t>5.7</t>
        </is>
      </c>
      <c r="B35" t="inlineStr">
        <is>
          <t>Tableaux</t>
        </is>
      </c>
      <c r="C35" t="inlineStr">
        <is>
          <t>A</t>
        </is>
      </c>
      <c r="D35" s="5" t="inlineStr">
        <is>
          <t>Pour chaque tableau de données, la technique appropriée permettant d’associer chaque cellule avec ses en-têtes est-elle utilisée (hors cas particuliers) ?</t>
        </is>
      </c>
      <c r="E35" s="8" t="inlineStr">
        <is>
          <t>NA</t>
        </is>
      </c>
      <c r="F35" s="5" t="inlineStr">
        <is>
          <t>Aucun tableau sur le site public.</t>
        </is>
      </c>
      <c r="G35" s="5" t="inlineStr"/>
      <c r="H35" s="5" t="inlineStr"/>
      <c r="I35" t="inlineStr">
        <is>
          <t>Camille Arnaud, 16/10/2026</t>
        </is>
      </c>
    </row>
    <row r="36">
      <c r="A36" t="inlineStr">
        <is>
          <t>5.8</t>
        </is>
      </c>
      <c r="B36" t="inlineStr">
        <is>
          <t>Tableaux</t>
        </is>
      </c>
      <c r="C36" t="inlineStr">
        <is>
          <t>A</t>
        </is>
      </c>
      <c r="D36" s="5" t="inlineStr">
        <is>
          <t>Chaque tableau de mise en forme ne doit pas utiliser d’éléments propres aux  tableaux de données. Cette règle est-elle respectée ?</t>
        </is>
      </c>
      <c r="E36" s="8" t="inlineStr">
        <is>
          <t>NA</t>
        </is>
      </c>
      <c r="F36" s="5" t="inlineStr">
        <is>
          <t>Aucun tableau sur le site public.</t>
        </is>
      </c>
      <c r="G36" s="5" t="inlineStr"/>
      <c r="H36" s="5" t="inlineStr"/>
      <c r="I36" t="inlineStr">
        <is>
          <t>Camille Arnaud, 16/10/2026</t>
        </is>
      </c>
    </row>
    <row r="37">
      <c r="A37" t="inlineStr">
        <is>
          <t>6.1</t>
        </is>
      </c>
      <c r="B37" t="inlineStr">
        <is>
          <t>Liens</t>
        </is>
      </c>
      <c r="C37" t="inlineStr">
        <is>
          <t>A</t>
        </is>
      </c>
      <c r="D37" s="5" t="inlineStr">
        <is>
          <t>Chaque lien est-il explicite (hors cas particuliers) ?</t>
        </is>
      </c>
      <c r="E37" s="6" t="inlineStr">
        <is>
          <t>NC</t>
        </is>
      </c>
      <c r="F37" s="5" t="inlineStr">
        <is>
          <t>Intitulés explicites seuls ou en contexte (« Voir la photo » sous le titre h1, « Voir ses photos » sous le nom). Échec 6.1.5 : les étapes de la carte d'un voyage affichent « J1 · 10 oct. / Lisbonne / 1 » mais leur nom accessible est « Étape 1, 10 oct. : Lisbonne » (le « J1 » visible n'y est pas).</t>
        </is>
      </c>
      <c r="G37" s="5" t="inlineStr">
        <is>
          <t>démo : /voyage/lisbonne-et-porto (views/trip.eta:31)</t>
        </is>
      </c>
      <c r="H37" s="5" t="inlineStr">
        <is>
          <t>Nom accessible qui commence par le texte visible : « J1 · 10 oct. · Lisbonne (étape 1) », ou afficher « Étape 1 ».</t>
        </is>
      </c>
      <c r="I37" t="inlineStr">
        <is>
          <t>Camille Arnaud, 16/10/2026</t>
        </is>
      </c>
    </row>
    <row r="38">
      <c r="A38" t="inlineStr">
        <is>
          <t>6.2</t>
        </is>
      </c>
      <c r="B38" t="inlineStr">
        <is>
          <t>Liens</t>
        </is>
      </c>
      <c r="C38" t="inlineStr">
        <is>
          <t>A</t>
        </is>
      </c>
      <c r="D38" s="5" t="inlineStr">
        <is>
          <t>Dans chaque page web, chaque lien a-t-il un intitulé ?</t>
        </is>
      </c>
      <c r="E38" s="7" t="inlineStr">
        <is>
          <t>C</t>
        </is>
      </c>
      <c r="F38" s="5" t="inlineStr">
        <is>
          <t>Tous les liens ont un intitulé (test automatisé + arbre d'accessibilité : liens icônes précédente/suivante et vignettes de carte nommés par aria-label).</t>
        </is>
      </c>
      <c r="G38" s="5" t="inlineStr">
        <is>
          <t>toutes pages</t>
        </is>
      </c>
      <c r="H38" s="5" t="inlineStr"/>
      <c r="I38" t="inlineStr">
        <is>
          <t>Camille Arnaud, 16/10/2026</t>
        </is>
      </c>
    </row>
    <row r="39">
      <c r="A39" t="inlineStr">
        <is>
          <t>7.1</t>
        </is>
      </c>
      <c r="B39" t="inlineStr">
        <is>
          <t>Scripts</t>
        </is>
      </c>
      <c r="C39" t="inlineStr">
        <is>
          <t>A</t>
        </is>
      </c>
      <c r="D39" s="5" t="inlineStr">
        <is>
          <t>Chaque script est-il, si nécessaire, compatible avec les technologies d’assistance ?</t>
        </is>
      </c>
      <c r="E39" s="6" t="inlineStr">
        <is>
          <t>NC</t>
        </is>
      </c>
      <c r="F39" s="5" t="inlineStr">
        <is>
          <t>7.1.3 : le sélecteur de langue (&lt;summary&gt;) a pour nom « Langue : français » alors qu'il affiche « FR » ; le bouton J'aime a pour nom « J'aime » alors qu'il affiche « 0 j'aime » (le nombre n'est jamais lu) et son nom bascule à « Je n'aime plus » en même temps que aria-pressed (double information contradictoire). Le reste est restitué : aria-expanded de « Lire la suite », aria-current des vignettes, dialog natif, région aria-live des filtres.</t>
        </is>
      </c>
      <c r="G39" s="5" t="inlineStr">
        <is>
          <t>démo+prod : toutes pages (views/langs.eta:4), pages photo (views/photo.eta:21, public/js/site.js:455)</t>
        </is>
      </c>
      <c r="H39" s="5" t="inlineStr">
        <is>
          <t>summary : aria-label="FR — Langue : français" ou pas d'aria-label et un texte masqué « Langue : » avant « FR ». J'aime : retirer aria-label (le texte visible « 12 j'aime » devient le nom), garder aria-pressed seul, libellé stable.</t>
        </is>
      </c>
      <c r="I39" t="inlineStr">
        <is>
          <t>Camille Arnaud, 16/10/2026</t>
        </is>
      </c>
    </row>
    <row r="40">
      <c r="A40" t="inlineStr">
        <is>
          <t>7.2</t>
        </is>
      </c>
      <c r="B40" t="inlineStr">
        <is>
          <t>Scripts</t>
        </is>
      </c>
      <c r="C40" t="inlineStr">
        <is>
          <t>A</t>
        </is>
      </c>
      <c r="D40" s="5" t="inlineStr">
        <is>
          <t>Pour chaque script ayant une alternative, cette alternative est-elle pertinente ?</t>
        </is>
      </c>
      <c r="E40" s="7" t="inlineStr">
        <is>
          <t>C</t>
        </is>
      </c>
      <c r="F40" s="5" t="inlineStr">
        <is>
          <t>Vérifié JavaScript coupé : galerie (22 vignettes), filtre de série (/serie/atlantique), page photo, page « Partager » de repli, langue (/en/), carte (ancre #lieu-…) fonctionnent ; bande de vignettes et Pause masquées. Seul défaut : sans script, les vignettes Lisbonne et Porto de la carte se superposent (Porto couvre Lisbonne au pointeur ; le clavier atteint les deux).</t>
        </is>
      </c>
      <c r="G40" s="5" t="inlineStr">
        <is>
          <t>démo</t>
        </is>
      </c>
      <c r="H40" s="5" t="inlineStr"/>
      <c r="I40" t="inlineStr">
        <is>
          <t>Camille Arnaud, 16/10/2026</t>
        </is>
      </c>
    </row>
    <row r="41">
      <c r="A41" t="inlineStr">
        <is>
          <t>7.3</t>
        </is>
      </c>
      <c r="B41" t="inlineStr">
        <is>
          <t>Scripts</t>
        </is>
      </c>
      <c r="C41" t="inlineStr">
        <is>
          <t>AA</t>
        </is>
      </c>
      <c r="D41" s="5" t="inlineStr">
        <is>
          <t>Chaque script est-il contrôlable par le clavier et par tout dispositif de pointage (hors cas particuliers) ?</t>
        </is>
      </c>
      <c r="E41" s="6" t="inlineStr">
        <is>
          <t>NC</t>
        </is>
      </c>
      <c r="F41" s="5" t="inlineStr">
        <is>
          <t>Carte du monde : le zoom se pilote au clavier (+, −, Monde) mais le déplacement de la carte agrandie n'existe qu'au glisser de la souris ou du doigt ; après trois « Zoom avant », les vignettes Lisbonne et Porto restent focalisables hors du cadre visible (rect y = −637 px). L'aperçu des séries ne réagit qu'au survol (décoratif, aria-hidden : sans conséquence).</t>
        </is>
      </c>
      <c r="G41" s="5" t="inlineStr">
        <is>
          <t>démo+prod : /carte (public/js/site.js:395-430)</t>
        </is>
      </c>
      <c r="H41" s="5" t="inlineStr">
        <is>
          <t>Boutons ou flèches du clavier pour déplacer la vue (↑ ↓ ← →, pas de 1/4 de vue) ; au focus d'une vignette hors champ, recentrer la vue sur elle.</t>
        </is>
      </c>
      <c r="I41" t="inlineStr">
        <is>
          <t>Camille Arnaud, 16/10/2026</t>
        </is>
      </c>
    </row>
    <row r="42">
      <c r="A42" t="inlineStr">
        <is>
          <t>7.4</t>
        </is>
      </c>
      <c r="B42" t="inlineStr">
        <is>
          <t>Scripts</t>
        </is>
      </c>
      <c r="C42" t="inlineStr">
        <is>
          <t>A</t>
        </is>
      </c>
      <c r="D42" s="5" t="inlineStr">
        <is>
          <t>Pour chaque script qui initie un changement de contexte, l’utilisateur est-il averti ou en a-t-il le contrôle ?</t>
        </is>
      </c>
      <c r="E42" s="7" t="inlineStr">
        <is>
          <t>C</t>
        </is>
      </c>
      <c r="F42" s="5" t="inlineStr">
        <is>
          <t>Aucun changement de contexte non initié : les filtres de la galerie remplacent le contenu au clic avec annonce ; flèches et Échap de la visionneuse sont des actions de l'utilisateur.</t>
        </is>
      </c>
      <c r="G42" s="5" t="inlineStr">
        <is>
          <t>démo</t>
        </is>
      </c>
      <c r="H42" s="5" t="inlineStr"/>
      <c r="I42" t="inlineStr">
        <is>
          <t>Camille Arnaud, 16/10/2026</t>
        </is>
      </c>
    </row>
    <row r="43">
      <c r="A43" t="inlineStr">
        <is>
          <t>7.5</t>
        </is>
      </c>
      <c r="B43" t="inlineStr">
        <is>
          <t>Scripts</t>
        </is>
      </c>
      <c r="C43" t="inlineStr">
        <is>
          <t>AA</t>
        </is>
      </c>
      <c r="D43" s="5" t="inlineStr">
        <is>
          <t>Dans chaque page web, les messages de statut sont-ils correctement restitués par les technologies d’assistance ?</t>
        </is>
      </c>
      <c r="E43" s="6" t="inlineStr">
        <is>
          <t>NC</t>
        </is>
      </c>
      <c r="F43" s="5" t="inlineStr">
        <is>
          <t>« ✓ Lien copié » (fenêtre Partager) n'est qu'un changement du texte du bouton, sans role="status" : non annoncé de façon fiable (0 région d'état dans la fenêtre, mesure). Conformes : nombre de résultats de recherche (role=status), annonce des filtres (aria-live).</t>
        </is>
      </c>
      <c r="G43" s="5" t="inlineStr">
        <is>
          <t>démo+prod : fenêtre Partager (public/js/site.js:508-516)</t>
        </is>
      </c>
      <c r="H43" s="5" t="inlineStr">
        <is>
          <t>Ajouter dans la fenêtre &lt;p role="status" class="sr-only"&gt; qui reçoit « Lien copié » (le bouton peut garder son changement visuel).</t>
        </is>
      </c>
      <c r="I43" t="inlineStr">
        <is>
          <t>Camille Arnaud, 16/10/2026</t>
        </is>
      </c>
    </row>
    <row r="44">
      <c r="A44" t="inlineStr">
        <is>
          <t>8.1</t>
        </is>
      </c>
      <c r="B44" t="inlineStr">
        <is>
          <t>Éléments obligatoires</t>
        </is>
      </c>
      <c r="C44" t="inlineStr">
        <is>
          <t>A</t>
        </is>
      </c>
      <c r="D44" s="5" t="inlineStr">
        <is>
          <t>Chaque page web est-elle définie par un type de document ?</t>
        </is>
      </c>
      <c r="E44" s="7" t="inlineStr">
        <is>
          <t>C</t>
        </is>
      </c>
      <c r="F44" s="5" t="inlineStr">
        <is>
          <t>Doctype HTML5 sur chaque page (test automatisé).</t>
        </is>
      </c>
      <c r="G44" s="5" t="inlineStr">
        <is>
          <t>toutes pages</t>
        </is>
      </c>
      <c r="H44" s="5" t="inlineStr"/>
      <c r="I44" t="inlineStr">
        <is>
          <t>Camille Arnaud, 16/10/2026</t>
        </is>
      </c>
    </row>
    <row r="45">
      <c r="A45" t="inlineStr">
        <is>
          <t>8.2</t>
        </is>
      </c>
      <c r="B45" t="inlineStr">
        <is>
          <t>Éléments obligatoires</t>
        </is>
      </c>
      <c r="C45" t="inlineStr">
        <is>
          <t>A</t>
        </is>
      </c>
      <c r="D45" s="5" t="inlineStr">
        <is>
          <t>Pour chaque page web, le code source généré est-il valide selon le type de document spécifié ?</t>
        </is>
      </c>
      <c r="E45" s="6" t="inlineStr">
        <is>
          <t>NC</t>
        </is>
      </c>
      <c r="F45" s="5" t="inlineStr">
        <is>
          <t>html-validate sur 20 pages servies : 2 erreurs de la page photo — &lt;details&gt; (sélecteur de langue) dans un &lt;span class="vh-end"&gt; (contenu non permis) et &lt;img&gt; sans src dans la fenêtre Partager (miniature différée en data-src). Ids uniques.</t>
        </is>
      </c>
      <c r="G45" s="5" t="inlineStr">
        <is>
          <t>démo+prod : pages photo (views/photo.eta:7, views/_share.eta:17)</t>
        </is>
      </c>
      <c r="H45" s="5" t="inlineStr">
        <is>
          <t>&lt;div class="vh-end"&gt; au lieu de &lt;span&gt; ; miniature : src d'un pixel transparent ou &lt;img&gt; créée au premier affichage.</t>
        </is>
      </c>
      <c r="I45" t="inlineStr">
        <is>
          <t>Camille Arnaud, 16/10/2026</t>
        </is>
      </c>
    </row>
    <row r="46">
      <c r="A46" t="inlineStr">
        <is>
          <t>8.3</t>
        </is>
      </c>
      <c r="B46" t="inlineStr">
        <is>
          <t>Éléments obligatoires</t>
        </is>
      </c>
      <c r="C46" t="inlineStr">
        <is>
          <t>A</t>
        </is>
      </c>
      <c r="D46" s="5" t="inlineStr">
        <is>
          <t>Dans chaque page web, la langue par défaut est-elle présente ?</t>
        </is>
      </c>
      <c r="E46" s="7" t="inlineStr">
        <is>
          <t>C</t>
        </is>
      </c>
      <c r="F46" s="5" t="inlineStr">
        <is>
          <t>lang présent sur &lt;html&gt; (fr, en, de).</t>
        </is>
      </c>
      <c r="G46" s="5" t="inlineStr">
        <is>
          <t>toutes pages</t>
        </is>
      </c>
      <c r="H46" s="5" t="inlineStr"/>
      <c r="I46" t="inlineStr">
        <is>
          <t>Camille Arnaud, 16/10/2026</t>
        </is>
      </c>
    </row>
    <row r="47">
      <c r="A47" t="inlineStr">
        <is>
          <t>8.4</t>
        </is>
      </c>
      <c r="B47" t="inlineStr">
        <is>
          <t>Éléments obligatoires</t>
        </is>
      </c>
      <c r="C47" t="inlineStr">
        <is>
          <t>A</t>
        </is>
      </c>
      <c r="D47" s="5" t="inlineStr">
        <is>
          <t>Pour chaque page web ayant une langue par défaut, le code de langue est-il pertinent ?</t>
        </is>
      </c>
      <c r="E47" s="7" t="inlineStr">
        <is>
          <t>C</t>
        </is>
      </c>
      <c r="F47" s="5" t="inlineStr">
        <is>
          <t>Codes de langue valides.</t>
        </is>
      </c>
      <c r="G47" s="5" t="inlineStr">
        <is>
          <t>toutes pages</t>
        </is>
      </c>
      <c r="H47" s="5" t="inlineStr"/>
      <c r="I47" t="inlineStr">
        <is>
          <t>Camille Arnaud, 16/10/2026</t>
        </is>
      </c>
    </row>
    <row r="48">
      <c r="A48" t="inlineStr">
        <is>
          <t>8.5</t>
        </is>
      </c>
      <c r="B48" t="inlineStr">
        <is>
          <t>Éléments obligatoires</t>
        </is>
      </c>
      <c r="C48" t="inlineStr">
        <is>
          <t>A</t>
        </is>
      </c>
      <c r="D48" s="5" t="inlineStr">
        <is>
          <t>Chaque page web a-t-elle un titre de page ?</t>
        </is>
      </c>
      <c r="E48" s="7" t="inlineStr">
        <is>
          <t>C</t>
        </is>
      </c>
      <c r="F48" s="5" t="inlineStr">
        <is>
          <t>&lt;title&gt; présent partout.</t>
        </is>
      </c>
      <c r="G48" s="5" t="inlineStr">
        <is>
          <t>toutes pages</t>
        </is>
      </c>
      <c r="H48" s="5" t="inlineStr"/>
      <c r="I48" t="inlineStr">
        <is>
          <t>Camille Arnaud, 16/10/2026</t>
        </is>
      </c>
    </row>
    <row r="49">
      <c r="A49" t="inlineStr">
        <is>
          <t>8.6</t>
        </is>
      </c>
      <c r="B49" t="inlineStr">
        <is>
          <t>Éléments obligatoires</t>
        </is>
      </c>
      <c r="C49" t="inlineStr">
        <is>
          <t>A</t>
        </is>
      </c>
      <c r="D49" s="5" t="inlineStr">
        <is>
          <t>Pour chaque page web ayant un titre de page, ce titre est-il pertinent ?</t>
        </is>
      </c>
      <c r="E49" s="7" t="inlineStr">
        <is>
          <t>C</t>
        </is>
      </c>
      <c r="F49" s="5" t="inlineStr">
        <is>
          <t>Titres pertinents et distincts : « Titre de la photo · Nicephos », « Rechercher : Porto · Nicephos », « Atlantique · Nicephos », « par Julien · Nicephos »… (seul « Signaler cette photo » ne nomme pas la photo : acceptable).</t>
        </is>
      </c>
      <c r="G49" s="5" t="inlineStr">
        <is>
          <t>toutes pages</t>
        </is>
      </c>
      <c r="H49" s="5" t="inlineStr"/>
      <c r="I49" t="inlineStr">
        <is>
          <t>Camille Arnaud, 16/10/2026</t>
        </is>
      </c>
    </row>
    <row r="50">
      <c r="A50" t="inlineStr">
        <is>
          <t>8.7</t>
        </is>
      </c>
      <c r="B50" t="inlineStr">
        <is>
          <t>Éléments obligatoires</t>
        </is>
      </c>
      <c r="C50" t="inlineStr">
        <is>
          <t>AA</t>
        </is>
      </c>
      <c r="D50" s="5" t="inlineStr">
        <is>
          <t>Dans chaque page web, chaque changement de langue est-il indiqué dans le code source (hors cas particuliers) ?</t>
        </is>
      </c>
      <c r="E50" s="6" t="inlineStr">
        <is>
          <t>NC</t>
        </is>
      </c>
      <c r="F50" s="5" t="inlineStr">
        <is>
          <t>Les textes non traduits retombent sur le français sans attribut lang : sur /en/ et /de/ de production, 38 titres de photo sur 44 sont en français (« Explosion étoilée », « Foule ébahie »…), h1 « SKYLINE DE SAN FRANCISCO » sur /en/photo/… ; en démo 16/22 (EN) et 17/22 (DE). À l'inverse, des titres anglais sur les pages françaises (« The Grapes of Wrath », « Alley of the giants, California ») et le titre mêlé « Bienvenue! Hi ! Hallo! » n'ont pas de lang.</t>
        </is>
      </c>
      <c r="G50" s="5" t="inlineStr">
        <is>
          <t>prod+démo : /en/, /de/, /en/photo/skyline-de-san-francisco… (server/i18n.js:18 pick())</t>
        </is>
      </c>
      <c r="H50" s="5" t="inlineStr">
        <is>
          <t>pick() renvoie aussi la langue réellement servie ; les vues posent lang="fr" (ou en/de) sur l'élément quand elle diffère de la page ; un champ « langue du titre » pour les titres écrits dans une autre langue.</t>
        </is>
      </c>
      <c r="I50" t="inlineStr">
        <is>
          <t>Camille Arnaud, 16/10/2026</t>
        </is>
      </c>
    </row>
    <row r="51">
      <c r="A51" t="inlineStr">
        <is>
          <t>8.8</t>
        </is>
      </c>
      <c r="B51" t="inlineStr">
        <is>
          <t>Éléments obligatoires</t>
        </is>
      </c>
      <c r="C51" t="inlineStr">
        <is>
          <t>AA</t>
        </is>
      </c>
      <c r="D51" s="5" t="inlineStr">
        <is>
          <t>Dans chaque page web, le code de langue de chaque changement de langue est-il valide et pertinent ?</t>
        </is>
      </c>
      <c r="E51" s="7" t="inlineStr">
        <is>
          <t>C</t>
        </is>
      </c>
      <c r="F51" s="5" t="inlineStr">
        <is>
          <t>Codes de langue des changements présents (liste des langues : lang=fr/en/de) valides.</t>
        </is>
      </c>
      <c r="G51" s="5" t="inlineStr">
        <is>
          <t>toutes pages</t>
        </is>
      </c>
      <c r="H51" s="5" t="inlineStr"/>
      <c r="I51" t="inlineStr">
        <is>
          <t>Camille Arnaud, 16/10/2026</t>
        </is>
      </c>
    </row>
    <row r="52">
      <c r="A52" t="inlineStr">
        <is>
          <t>8.9</t>
        </is>
      </c>
      <c r="B52" t="inlineStr">
        <is>
          <t>Éléments obligatoires</t>
        </is>
      </c>
      <c r="C52" t="inlineStr">
        <is>
          <t>A</t>
        </is>
      </c>
      <c r="D52" s="5" t="inlineStr">
        <is>
          <t>Dans chaque page web, les balises ne doivent pas être utilisées uniquement à des fins de présentation. Cette règle est-elle respectée ?</t>
        </is>
      </c>
      <c r="E52" s="6" t="inlineStr">
        <is>
          <t>NC</t>
        </is>
      </c>
      <c r="F52" s="5" t="inlineStr">
        <is>
          <t>Thème Atelier (démo) : le dernier mot du logo texte est dans un &lt;i&gt; purement décoratif (italique). Absent du thème Nicephos (emblème) en production.</t>
        </is>
      </c>
      <c r="G52" s="5" t="inlineStr">
        <is>
          <t>démo : en-tête de toutes les pages (views/brand.eta:7)</t>
        </is>
      </c>
      <c r="H52" s="5" t="inlineStr">
        <is>
          <t>Remplacer &lt;i&gt; par &lt;span class="brand-last"&gt; stylé en CSS.</t>
        </is>
      </c>
      <c r="I52" t="inlineStr">
        <is>
          <t>Camille Arnaud, 16/10/2026</t>
        </is>
      </c>
    </row>
    <row r="53">
      <c r="A53" t="inlineStr">
        <is>
          <t>8.10</t>
        </is>
      </c>
      <c r="B53" t="inlineStr">
        <is>
          <t>Éléments obligatoires</t>
        </is>
      </c>
      <c r="C53" t="inlineStr">
        <is>
          <t>A</t>
        </is>
      </c>
      <c r="D53" s="5" t="inlineStr">
        <is>
          <t>Dans chaque page web, les changements du sens de lecture sont-ils signalés ?</t>
        </is>
      </c>
      <c r="E53" s="8" t="inlineStr">
        <is>
          <t>NA</t>
        </is>
      </c>
      <c r="F53" s="5" t="inlineStr">
        <is>
          <t>Pas de changement de sens de lecture (aucune langue de droite à gauche).</t>
        </is>
      </c>
      <c r="G53" s="5" t="inlineStr"/>
      <c r="H53" s="5" t="inlineStr"/>
      <c r="I53" t="inlineStr">
        <is>
          <t>Camille Arnaud, 16/10/2026</t>
        </is>
      </c>
    </row>
    <row r="54">
      <c r="A54" t="inlineStr">
        <is>
          <t>9.1</t>
        </is>
      </c>
      <c r="B54" t="inlineStr">
        <is>
          <t>Structuration de l’information</t>
        </is>
      </c>
      <c r="C54" t="inlineStr">
        <is>
          <t>AA</t>
        </is>
      </c>
      <c r="D54" s="5" t="inlineStr">
        <is>
          <t>Dans chaque page web, l’information est-elle structurée par l’utilisation appropriée de titres ?</t>
        </is>
      </c>
      <c r="E54" s="6" t="inlineStr">
        <is>
          <t>NC</t>
        </is>
      </c>
      <c r="F54" s="5" t="inlineStr">
        <is>
          <t>Pages galerie (accueil, série, photographe) : le h1 est le titre de la diapositive en cours de l'ouverture (il change toutes les 6 s) et c'est la même ouverture partout : sur /serie/atlantique le h1 est « Miradouro, l'heure dorée » (série Voyage) et le nom de la série, « Atlantique », n'est qu'un h3 placé sous le h2 de l'accroche. La hiérarchie ne dit pas de quoi parle la page. Autres pages : un h1 juste, hiérarchie correcte.</t>
        </is>
      </c>
      <c r="G54" s="5" t="inlineStr">
        <is>
          <t>démo+prod : /, /serie/…, /auteur/… (views/home.eta:20 et 72)</t>
        </is>
      </c>
      <c r="H54" s="5" t="inlineStr">
        <is>
          <t>h1 stable propre à la page (« Nicephos — photographies de Sébastien et Julien », « Série Atlantique », « Photographies de Julien ») ; légendes de l'ouverture en &lt;p&gt; ou h2 ; titre de la galerie en h2.</t>
        </is>
      </c>
      <c r="I54" t="inlineStr">
        <is>
          <t>Camille Arnaud, 16/10/2026</t>
        </is>
      </c>
    </row>
    <row r="55">
      <c r="A55" t="inlineStr">
        <is>
          <t>9.2</t>
        </is>
      </c>
      <c r="B55" t="inlineStr">
        <is>
          <t>Structuration de l’information</t>
        </is>
      </c>
      <c r="C55" t="inlineStr">
        <is>
          <t>A</t>
        </is>
      </c>
      <c r="D55" s="5" t="inlineStr">
        <is>
          <t>Dans chaque page web, la structure du document est-elle cohérente (hors cas particuliers) ?</t>
        </is>
      </c>
      <c r="E55" s="7" t="inlineStr">
        <is>
          <t>C</t>
        </is>
      </c>
      <c r="F55" s="5" t="inlineStr">
        <is>
          <t>header, nav, main, footer utilisés pour leurs zones ; un seul main visible. (Sur les pages galerie le &lt;header&gt; est imbriqué dans la section de l'ouverture : traité en 12.6.)</t>
        </is>
      </c>
      <c r="G55" s="5" t="inlineStr">
        <is>
          <t>toutes pages</t>
        </is>
      </c>
      <c r="H55" s="5" t="inlineStr"/>
      <c r="I55" t="inlineStr">
        <is>
          <t>Camille Arnaud, 16/10/2026</t>
        </is>
      </c>
    </row>
    <row r="56">
      <c r="A56" t="inlineStr">
        <is>
          <t>9.3</t>
        </is>
      </c>
      <c r="B56" t="inlineStr">
        <is>
          <t>Structuration de l’information</t>
        </is>
      </c>
      <c r="C56" t="inlineStr">
        <is>
          <t>A</t>
        </is>
      </c>
      <c r="D56" s="5" t="inlineStr">
        <is>
          <t>Dans chaque page web, chaque liste est-elle correctement structurée ?</t>
        </is>
      </c>
      <c r="E56" s="6" t="inlineStr">
        <is>
          <t>NC</t>
        </is>
      </c>
      <c r="F56" s="5" t="inlineStr">
        <is>
          <t>Ensembles visuellement présentés en liste sans balisage de liste : menu principal, index des séries (Atlantique 03, Rue 07…), choix du regard, grille des photos (accueil, série, photographe, recherche, jours d'un voyage), liens du pied de page. Les listes « À proximité », lieux de la carte et voyages, elles, sont des &lt;ul&gt; : incohérence.</t>
        </is>
      </c>
      <c r="G56" s="5" t="inlineStr">
        <is>
          <t>démo+prod : views/nav.eta, home.eta (series, who, grid), search.eta, trip.eta, footer.eta</t>
        </is>
      </c>
      <c r="H56" s="5" t="inlineStr">
        <is>
          <t>&lt;ul role="list"&gt; + &lt;li&gt; pour ces ensembles (le CSS en flex/grid reste le même).</t>
        </is>
      </c>
      <c r="I56" t="inlineStr">
        <is>
          <t>Camille Arnaud, 16/10/2026</t>
        </is>
      </c>
    </row>
    <row r="57">
      <c r="A57" t="inlineStr">
        <is>
          <t>9.4</t>
        </is>
      </c>
      <c r="B57" t="inlineStr">
        <is>
          <t>Structuration de l’information</t>
        </is>
      </c>
      <c r="C57" t="inlineStr">
        <is>
          <t>A</t>
        </is>
      </c>
      <c r="D57" s="5" t="inlineStr">
        <is>
          <t>Dans chaque page web, chaque citation est-elle correctement indiquée ?</t>
        </is>
      </c>
      <c r="E57" s="8" t="inlineStr">
        <is>
          <t>NA</t>
        </is>
      </c>
      <c r="F57" s="5" t="inlineStr">
        <is>
          <t>Aucune citation balisée ou à baliser dans l'échantillon.</t>
        </is>
      </c>
      <c r="G57" s="5" t="inlineStr"/>
      <c r="H57" s="5" t="inlineStr"/>
      <c r="I57" t="inlineStr">
        <is>
          <t>Camille Arnaud, 16/10/2026</t>
        </is>
      </c>
    </row>
    <row r="58">
      <c r="A58" t="inlineStr">
        <is>
          <t>10.1</t>
        </is>
      </c>
      <c r="B58" t="inlineStr">
        <is>
          <t>Présentation de l’information</t>
        </is>
      </c>
      <c r="C58" t="inlineStr">
        <is>
          <t>A</t>
        </is>
      </c>
      <c r="D58" s="5" t="inlineStr">
        <is>
          <t>Dans le site web, des feuilles de styles sont-elles utilisées pour contrôler la présentation de l’information ?</t>
        </is>
      </c>
      <c r="E58" s="7" t="inlineStr">
        <is>
          <t>C</t>
        </is>
      </c>
      <c r="F58" s="5" t="inlineStr">
        <is>
          <t>Pas de balise ni d'attribut de présentation (width/height des img et svg admis).</t>
        </is>
      </c>
      <c r="G58" s="5" t="inlineStr">
        <is>
          <t>toutes pages</t>
        </is>
      </c>
      <c r="H58" s="5" t="inlineStr"/>
      <c r="I58" t="inlineStr">
        <is>
          <t>Camille Arnaud, 16/10/2026</t>
        </is>
      </c>
    </row>
    <row r="59">
      <c r="A59" t="inlineStr">
        <is>
          <t>10.2</t>
        </is>
      </c>
      <c r="B59" t="inlineStr">
        <is>
          <t>Présentation de l’information</t>
        </is>
      </c>
      <c r="C59" t="inlineStr">
        <is>
          <t>A</t>
        </is>
      </c>
      <c r="D59" s="5" t="inlineStr">
        <is>
          <t>Dans chaque page web, le contenu visible porteur d’information reste-t-il présent lorsque les feuilles de styles sont désactivées ?</t>
        </is>
      </c>
      <c r="E59" s="7" t="inlineStr">
        <is>
          <t>C</t>
        </is>
      </c>
      <c r="F59" s="5" t="inlineStr">
        <is>
          <t>Styles désactivés : tout le contenu reste présent et lisible (captures scenarios/sans-css-*.png) ; l'emblème en masque CSS est doublé du nom du site.</t>
        </is>
      </c>
      <c r="G59" s="5" t="inlineStr">
        <is>
          <t>démo</t>
        </is>
      </c>
      <c r="H59" s="5" t="inlineStr"/>
      <c r="I59" t="inlineStr">
        <is>
          <t>Camille Arnaud, 16/10/2026</t>
        </is>
      </c>
    </row>
    <row r="60">
      <c r="A60" t="inlineStr">
        <is>
          <t>10.3</t>
        </is>
      </c>
      <c r="B60" t="inlineStr">
        <is>
          <t>Présentation de l’information</t>
        </is>
      </c>
      <c r="C60" t="inlineStr">
        <is>
          <t>A</t>
        </is>
      </c>
      <c r="D60" s="5" t="inlineStr">
        <is>
          <t>Dans chaque page web, l’information reste-t-elle compréhensible lorsque les feuilles de styles sont désactivées ?</t>
        </is>
      </c>
      <c r="E60" s="7" t="inlineStr">
        <is>
          <t>C</t>
        </is>
      </c>
      <c r="F60" s="5" t="inlineStr">
        <is>
          <t>Sans styles, l'ordre du code reste compréhensible (en-tête, ouverture, regards, séries, grille ; photo puis texte puis actions).</t>
        </is>
      </c>
      <c r="G60" s="5" t="inlineStr">
        <is>
          <t>démo</t>
        </is>
      </c>
      <c r="H60" s="5" t="inlineStr"/>
      <c r="I60" t="inlineStr">
        <is>
          <t>Camille Arnaud, 16/10/2026</t>
        </is>
      </c>
    </row>
    <row r="61">
      <c r="A61" t="inlineStr">
        <is>
          <t>10.4</t>
        </is>
      </c>
      <c r="B61" t="inlineStr">
        <is>
          <t>Présentation de l’information</t>
        </is>
      </c>
      <c r="C61" t="inlineStr">
        <is>
          <t>AA</t>
        </is>
      </c>
      <c r="D61" s="5" t="inlineStr">
        <is>
          <t>Dans chaque page web, le texte reste-t-il lisible lorsque la taille des caractères est augmentée jusqu’à 200 %, au moins (hors cas particuliers) ?</t>
        </is>
      </c>
      <c r="E61" s="7" t="inlineStr">
        <is>
          <t>C</t>
        </is>
      </c>
      <c r="F61" s="5" t="inlineStr">
        <is>
          <t>Zoom graphique 200 % (640 px de large) et zoom du texte seul 200 % (polices doublées à 1280 px) : rien de masqué ni de chevauchant ; titres d'ouverture de production à 3,1 lignes, sous la limite de 3 lignes du line-clamp. Seule la recherche défile de 76 px en largeur au zoom texte (méta des vignettes en nowrap, voir 10.11).</t>
        </is>
      </c>
      <c r="G61" s="5" t="inlineStr">
        <is>
          <t>démo+prod</t>
        </is>
      </c>
      <c r="H61" s="5" t="inlineStr"/>
      <c r="I61" t="inlineStr">
        <is>
          <t>Camille Arnaud, 16/10/2026</t>
        </is>
      </c>
    </row>
    <row r="62">
      <c r="A62" t="inlineStr">
        <is>
          <t>10.5</t>
        </is>
      </c>
      <c r="B62" t="inlineStr">
        <is>
          <t>Présentation de l’information</t>
        </is>
      </c>
      <c r="C62" t="inlineStr">
        <is>
          <t>AA</t>
        </is>
      </c>
      <c r="D62" s="5" t="inlineStr">
        <is>
          <t>Dans chaque page web, les déclarations CSS de couleurs de fond d’élément et de police sont-elles correctement utilisées ?</t>
        </is>
      </c>
      <c r="E62" s="7" t="inlineStr">
        <is>
          <t>C</t>
        </is>
      </c>
      <c r="F62" s="5" t="inlineStr">
        <is>
          <t>Couleurs de texte et de fond déclarées ensemble (body, ouverture, menus, fenêtre, boutons pleins).</t>
        </is>
      </c>
      <c r="G62" s="5" t="inlineStr">
        <is>
          <t>toutes pages</t>
        </is>
      </c>
      <c r="H62" s="5" t="inlineStr"/>
      <c r="I62" t="inlineStr">
        <is>
          <t>Camille Arnaud, 16/10/2026</t>
        </is>
      </c>
    </row>
    <row r="63">
      <c r="A63" t="inlineStr">
        <is>
          <t>10.6</t>
        </is>
      </c>
      <c r="B63" t="inlineStr">
        <is>
          <t>Présentation de l’information</t>
        </is>
      </c>
      <c r="C63" t="inlineStr">
        <is>
          <t>A</t>
        </is>
      </c>
      <c r="D63" s="5" t="inlineStr">
        <is>
          <t>Dans chaque page web, chaque lien dont la nature n’est pas évidente est-il visible par rapport au texte environnant ?</t>
        </is>
      </c>
      <c r="E63" s="6" t="inlineStr">
        <is>
          <t>NC</t>
        </is>
      </c>
      <c r="F63" s="5" t="inlineStr">
        <is>
          <t>Liens dont la nature n'est pas évidente et qui ne se distinguent en rien du texte voisin (même couleur, aucun soulignement) : « Droits d'utilisation · Confidentialité · Mentions légales » dans le pied de page, entre deux mentions qui ne sont pas des liens (« Photographies · reproduction interdite ») ; « Confidentialité » en fin du paragraphe de /bonjour. Cause : a { color: inherit; text-decoration: none }.</t>
        </is>
      </c>
      <c r="G63" s="5" t="inlineStr">
        <is>
          <t>démo+prod : pied de page de toutes les pages (views/footer.eta:4), /bonjour (views/bonjour.eta:68)</t>
        </is>
      </c>
      <c r="H63" s="5" t="inlineStr">
        <is>
          <t>Souligner les liens de texte courant et du pied de page (text-underline-offset 3 px, épaisseur 1 px) ; garder la couleur.</t>
        </is>
      </c>
      <c r="I63" t="inlineStr">
        <is>
          <t>Camille Arnaud, 16/10/2026</t>
        </is>
      </c>
    </row>
    <row r="64">
      <c r="A64" t="inlineStr">
        <is>
          <t>10.7</t>
        </is>
      </c>
      <c r="B64" t="inlineStr">
        <is>
          <t>Présentation de l’information</t>
        </is>
      </c>
      <c r="C64" t="inlineStr">
        <is>
          <t>AA</t>
        </is>
      </c>
      <c r="D64" s="5" t="inlineStr">
        <is>
          <t>Dans chaque page web, pour chaque élément recevant le focus, la prise de focus est-elle visible ?</t>
        </is>
      </c>
      <c r="E64" s="6" t="inlineStr">
        <is>
          <t>NC</t>
        </is>
      </c>
      <c r="F64" s="5" t="inlineStr">
        <is>
          <t>Focus invisible : cases à cocher et boutons radio de /bonjour et /signaler (outline:none, aucun autre indice — 0 pixel modifié) ; champs texte des mêmes formulaires (la règle :focus ne gagne pas sur :not([type=…]) : la bordure ne change pas) ; vignettes de la carte zoomée focalisables hors du cadre ; focus envoyé hors écran après un filtre de série (12.8). Contour sombre (--ink, 2,0:1) sur la photo de tête d'un voyage en thème Atelier. Ailleurs : contour de 2 px contrasté (≥ 9:1).</t>
        </is>
      </c>
      <c r="G64" s="5" t="inlineStr">
        <is>
          <t>démo+prod : /bonjour, /signaler (public/css/site.css:245), /carte, accueil</t>
        </is>
      </c>
      <c r="H64" s="5" t="inlineStr">
        <is>
          <t>Supprimer outline:none de .hello-form input:focus ; :focus-visible avec contour 2 px --ink partout (cases comprises) ; .trip-hero :focus-visible en --dark-ink.</t>
        </is>
      </c>
      <c r="I64" t="inlineStr">
        <is>
          <t>Camille Arnaud, 16/10/2026</t>
        </is>
      </c>
    </row>
    <row r="65">
      <c r="A65" t="inlineStr">
        <is>
          <t>10.8</t>
        </is>
      </c>
      <c r="B65" t="inlineStr">
        <is>
          <t>Présentation de l’information</t>
        </is>
      </c>
      <c r="C65" t="inlineStr">
        <is>
          <t>A</t>
        </is>
      </c>
      <c r="D65" s="5" t="inlineStr">
        <is>
          <t>Pour chaque page web, les contenus cachés ont-ils vocation à être ignorés par les technologies d’assistance ?</t>
        </is>
      </c>
      <c r="E65" s="7" t="inlineStr">
        <is>
          <t>C</t>
        </is>
      </c>
      <c r="F65" s="5" t="inlineStr">
        <is>
          <t>Contenus cachés à bon escient : piège à robots aria-hidden avec tabindex=-1 (non focalisable : faux positif de la sonde), aperçus des séries aria-hidden, diapositives inactives en display:none, fenêtre fermée.</t>
        </is>
      </c>
      <c r="G65" s="5" t="inlineStr">
        <is>
          <t>démo+prod</t>
        </is>
      </c>
      <c r="H65" s="5" t="inlineStr"/>
      <c r="I65" t="inlineStr">
        <is>
          <t>Camille Arnaud, 16/10/2026</t>
        </is>
      </c>
    </row>
    <row r="66">
      <c r="A66" t="inlineStr">
        <is>
          <t>10.9</t>
        </is>
      </c>
      <c r="B66" t="inlineStr">
        <is>
          <t>Présentation de l’information</t>
        </is>
      </c>
      <c r="C66" t="inlineStr">
        <is>
          <t>A</t>
        </is>
      </c>
      <c r="D66" s="5" t="inlineStr">
        <is>
          <t>Dans chaque page web, l’information ne doit pas être donnée uniquement par la forme, taille ou position. Cette règle est-elle respectée ?</t>
        </is>
      </c>
      <c r="E66" s="7" t="inlineStr">
        <is>
          <t>C</t>
        </is>
      </c>
      <c r="F66" s="5" t="inlineStr">
        <is>
          <t>Aucune information donnée par la forme, la taille ou la position seule (consignes textuelles, états doublés).</t>
        </is>
      </c>
      <c r="G66" s="5" t="inlineStr">
        <is>
          <t>toutes pages</t>
        </is>
      </c>
      <c r="H66" s="5" t="inlineStr"/>
      <c r="I66" t="inlineStr">
        <is>
          <t>Camille Arnaud, 16/10/2026</t>
        </is>
      </c>
    </row>
    <row r="67">
      <c r="A67" t="inlineStr">
        <is>
          <t>10.10</t>
        </is>
      </c>
      <c r="B67" t="inlineStr">
        <is>
          <t>Présentation de l’information</t>
        </is>
      </c>
      <c r="C67" t="inlineStr">
        <is>
          <t>A</t>
        </is>
      </c>
      <c r="D67" s="5" t="inlineStr">
        <is>
          <t>Dans chaque page web, l’information ne doit pas être donnée par la forme, taille ou position uniquement. Cette règle est-elle implémentée de façon pertinente ?</t>
        </is>
      </c>
      <c r="E67" s="7" t="inlineStr">
        <is>
          <t>C</t>
        </is>
      </c>
      <c r="F67" s="5" t="inlineStr">
        <is>
          <t>Idem dans le code (aria-current, aria-pressed, textes).</t>
        </is>
      </c>
      <c r="G67" s="5" t="inlineStr">
        <is>
          <t>toutes pages</t>
        </is>
      </c>
      <c r="H67" s="5" t="inlineStr"/>
      <c r="I67" t="inlineStr">
        <is>
          <t>Camille Arnaud, 16/10/2026</t>
        </is>
      </c>
    </row>
    <row r="68">
      <c r="A68" t="inlineStr">
        <is>
          <t>10.11</t>
        </is>
      </c>
      <c r="B68" t="inlineStr">
        <is>
          <t>Présentation de l’information</t>
        </is>
      </c>
      <c r="C68" t="inlineStr">
        <is>
          <t>AA</t>
        </is>
      </c>
      <c r="D68" s="5" t="inlineStr">
        <is>
          <t>Pour chaque page web, les contenus peuvent-ils être présentés sans perte d’information ou de fonctionnalité et sans avoir recours soit à un défilement vertical pour une fenêtre ayant une hauteur de 256 px, soit à un défilement horizontal pour une fenêtre ayant une largeur de 320 px (hors cas particuliers) ?</t>
        </is>
      </c>
      <c r="E68" s="6" t="inlineStr">
        <is>
          <t>NC</t>
        </is>
      </c>
      <c r="F68" s="5" t="inlineStr">
        <is>
          <t>À 320 px : la liste des langues ouverte sort de l'écran à gauche sur /en/ (−107 px) et /de/ (−65 px) ; sur les largeurs de téléphone courantes elle est coupée sur presque toutes les pages (360 à 430 px : −63 à −107 px ; FR, EN et DE) — à 412 px il ne reste à l'écran que le « s » final de « Français » (capture demo-front-mobile/accueil-menu-langues-ouvert.png). Constat de la collecte du 15/10, toujours présent. Résultats de recherche : la ligne de méta en nowrap fait défiler la page de 6 px.</t>
        </is>
      </c>
      <c r="G68" s="5" t="inlineStr">
        <is>
          <t>démo+prod : toutes pages avec menu (public/css/site.css:93 .lang-pick ul right:0), /recherche (site.css:181)</t>
        </is>
      </c>
      <c r="H68" s="5" t="inlineStr">
        <is>
          <t>Ancrer la liste au bord visible : left:0 quand le sélecteur est en début de ligne (ou position:fixed avec inset-inline 16 px sous 600 px) ; .tile .mono : white-space normal sous 640 px.</t>
        </is>
      </c>
      <c r="I68" t="inlineStr">
        <is>
          <t>Camille Arnaud, 16/10/2026</t>
        </is>
      </c>
    </row>
    <row r="69">
      <c r="A69" t="inlineStr">
        <is>
          <t>10.12</t>
        </is>
      </c>
      <c r="B69" t="inlineStr">
        <is>
          <t>Présentation de l’information</t>
        </is>
      </c>
      <c r="C69" t="inlineStr">
        <is>
          <t>AA</t>
        </is>
      </c>
      <c r="D69" s="5" t="inlineStr">
        <is>
          <t>Dans chaque page web, les propriétés d’espacement du texte peuvent-elles être redéfinies par l’utilisateur sans perte de contenu ou de fonctionnalité (hors cas particuliers) ?</t>
        </is>
      </c>
      <c r="E69" s="7" t="inlineStr">
        <is>
          <t>C</t>
        </is>
      </c>
      <c r="F69" s="5" t="inlineStr">
        <is>
          <t>Espacements WCAG 1.4.12 appliqués (interligne 1,5, lettres 0,12 em, mots 0,16 em, paragraphes 2 em) à 1440 et 412 px : aucun texte rogné de plus qu'au témoin.</t>
        </is>
      </c>
      <c r="G69" s="5" t="inlineStr">
        <is>
          <t>démo</t>
        </is>
      </c>
      <c r="H69" s="5" t="inlineStr"/>
      <c r="I69" t="inlineStr">
        <is>
          <t>Camille Arnaud, 16/10/2026</t>
        </is>
      </c>
    </row>
    <row r="70">
      <c r="A70" t="inlineStr">
        <is>
          <t>10.13</t>
        </is>
      </c>
      <c r="B70" t="inlineStr">
        <is>
          <t>Présentation de l’information</t>
        </is>
      </c>
      <c r="C70" t="inlineStr">
        <is>
          <t>AA</t>
        </is>
      </c>
      <c r="D70" s="5" t="inlineStr">
        <is>
          <t>Dans chaque page web, les contenus additionnels apparaissant à la prise de focus ou au survol d’un composant d’interface sont-ils contrôlables par l’utilisateur (hors cas particuliers) ?</t>
        </is>
      </c>
      <c r="E70" s="7" t="inlineStr">
        <is>
          <t>C</t>
        </is>
      </c>
      <c r="F70" s="5" t="inlineStr">
        <is>
          <t>Seul contenu au survol : l'aperçu de couverture des séries, dans une zone réservée qui ne masque rien et reste visible tant que le pointeur est sur la liste.</t>
        </is>
      </c>
      <c r="G70" s="5" t="inlineStr">
        <is>
          <t>démo+prod</t>
        </is>
      </c>
      <c r="H70" s="5" t="inlineStr"/>
      <c r="I70" t="inlineStr">
        <is>
          <t>Camille Arnaud, 16/10/2026</t>
        </is>
      </c>
    </row>
    <row r="71">
      <c r="A71" t="inlineStr">
        <is>
          <t>10.14</t>
        </is>
      </c>
      <c r="B71" t="inlineStr">
        <is>
          <t>Présentation de l’information</t>
        </is>
      </c>
      <c r="C71" t="inlineStr">
        <is>
          <t>A</t>
        </is>
      </c>
      <c r="D71" s="5" t="inlineStr">
        <is>
          <t>Dans chaque page web, les contenus additionnels apparaissant via les styles CSS uniquement peuvent-ils être rendus visibles au clavier et par tout dispositif de pointage ?</t>
        </is>
      </c>
      <c r="E71" s="8" t="inlineStr">
        <is>
          <t>NA</t>
        </is>
      </c>
      <c r="F71" s="5" t="inlineStr">
        <is>
          <t>Aucun contenu révélé par CSS au seul survol.</t>
        </is>
      </c>
      <c r="G71" s="5" t="inlineStr"/>
      <c r="H71" s="5" t="inlineStr"/>
      <c r="I71" t="inlineStr">
        <is>
          <t>Camille Arnaud, 16/10/2026</t>
        </is>
      </c>
    </row>
    <row r="72">
      <c r="A72" t="inlineStr">
        <is>
          <t>11.1</t>
        </is>
      </c>
      <c r="B72" t="inlineStr">
        <is>
          <t>Formulaires</t>
        </is>
      </c>
      <c r="C72" t="inlineStr">
        <is>
          <t>AA</t>
        </is>
      </c>
      <c r="D72" s="5" t="inlineStr">
        <is>
          <t>Chaque champ de formulaire a-t-il une étiquette ?</t>
        </is>
      </c>
      <c r="E72" s="7" t="inlineStr">
        <is>
          <t>C</t>
        </is>
      </c>
      <c r="F72" s="5" t="inlineStr">
        <is>
          <t>Chaque champ a une étiquette (label englobant, aria-label pour le lien à copier, label masqué « Mots-clés » + consigne visible accolée pour la recherche).</t>
        </is>
      </c>
      <c r="G72" s="5" t="inlineStr">
        <is>
          <t>formulaires</t>
        </is>
      </c>
      <c r="H72" s="5" t="inlineStr"/>
      <c r="I72" t="inlineStr">
        <is>
          <t>Camille Arnaud, 16/10/2026</t>
        </is>
      </c>
    </row>
    <row r="73">
      <c r="A73" t="inlineStr">
        <is>
          <t>11.2</t>
        </is>
      </c>
      <c r="B73" t="inlineStr">
        <is>
          <t>Formulaires</t>
        </is>
      </c>
      <c r="C73" t="inlineStr">
        <is>
          <t>AA</t>
        </is>
      </c>
      <c r="D73" s="5" t="inlineStr">
        <is>
          <t>Chaque étiquette associée à un champ de formulaire est-elle pertinente (hors cas particuliers) ?</t>
        </is>
      </c>
      <c r="E73" s="7" t="inlineStr">
        <is>
          <t>C</t>
        </is>
      </c>
      <c r="F73" s="5" t="inlineStr">
        <is>
          <t>Étiquettes pertinentes ; le nom accessible contient le libellé visible (labels englobants).</t>
        </is>
      </c>
      <c r="G73" s="5" t="inlineStr">
        <is>
          <t>formulaires</t>
        </is>
      </c>
      <c r="H73" s="5" t="inlineStr"/>
      <c r="I73" t="inlineStr">
        <is>
          <t>Camille Arnaud, 16/10/2026</t>
        </is>
      </c>
    </row>
    <row r="74">
      <c r="A74" t="inlineStr">
        <is>
          <t>11.3</t>
        </is>
      </c>
      <c r="B74" t="inlineStr">
        <is>
          <t>Formulaires</t>
        </is>
      </c>
      <c r="C74" t="inlineStr">
        <is>
          <t>AA</t>
        </is>
      </c>
      <c r="D74" s="5" t="inlineStr">
        <is>
          <t>Dans chaque formulaire, chaque étiquette associée à un champ de formulaire ayant la même fonction et répétée plusieurs fois dans une même page ou dans un ensemble de pages est-elle cohérente ?</t>
        </is>
      </c>
      <c r="E74" s="7" t="inlineStr">
        <is>
          <t>C</t>
        </is>
      </c>
      <c r="F74" s="5" t="inlineStr">
        <is>
          <t>Même fonction, même étiquette (« Votre e-mail » sur /bonjour et /signaler).</t>
        </is>
      </c>
      <c r="G74" s="5" t="inlineStr">
        <is>
          <t>formulaires</t>
        </is>
      </c>
      <c r="H74" s="5" t="inlineStr"/>
      <c r="I74" t="inlineStr">
        <is>
          <t>Camille Arnaud, 16/10/2026</t>
        </is>
      </c>
    </row>
    <row r="75">
      <c r="A75" t="inlineStr">
        <is>
          <t>11.4</t>
        </is>
      </c>
      <c r="B75" t="inlineStr">
        <is>
          <t>Formulaires</t>
        </is>
      </c>
      <c r="C75" t="inlineStr">
        <is>
          <t>A</t>
        </is>
      </c>
      <c r="D75" s="5" t="inlineStr">
        <is>
          <t>Dans chaque formulaire, chaque étiquette de champ et son champ associé sont-ils accolés (hors cas particuliers) ?</t>
        </is>
      </c>
      <c r="E75" s="7" t="inlineStr">
        <is>
          <t>C</t>
        </is>
      </c>
      <c r="F75" s="5" t="inlineStr">
        <is>
          <t>Étiquettes accolées à leurs champs.</t>
        </is>
      </c>
      <c r="G75" s="5" t="inlineStr">
        <is>
          <t>formulaires</t>
        </is>
      </c>
      <c r="H75" s="5" t="inlineStr"/>
      <c r="I75" t="inlineStr">
        <is>
          <t>Camille Arnaud, 16/10/2026</t>
        </is>
      </c>
    </row>
    <row r="76">
      <c r="A76" t="inlineStr">
        <is>
          <t>11.5</t>
        </is>
      </c>
      <c r="B76" t="inlineStr">
        <is>
          <t>Formulaires</t>
        </is>
      </c>
      <c r="C76" t="inlineStr">
        <is>
          <t>A</t>
        </is>
      </c>
      <c r="D76" s="5" t="inlineStr">
        <is>
          <t>Dans chaque formulaire, les champs de même nature sont-ils regroupés, si nécessaire ?</t>
        </is>
      </c>
      <c r="E76" s="7" t="inlineStr">
        <is>
          <t>C</t>
        </is>
      </c>
      <c r="F76" s="5" t="inlineStr">
        <is>
          <t>Champs de même nature regroupés en &lt;fieldset&gt; (Votre carte, Ce que vous souhaitez, Publication, Vos données, Vous joindre ; type de signalement).</t>
        </is>
      </c>
      <c r="G76" s="5" t="inlineStr">
        <is>
          <t>/bonjour, /signaler</t>
        </is>
      </c>
      <c r="H76" s="5" t="inlineStr"/>
      <c r="I76" t="inlineStr">
        <is>
          <t>Camille Arnaud, 16/10/2026</t>
        </is>
      </c>
    </row>
    <row r="77">
      <c r="A77" t="inlineStr">
        <is>
          <t>11.6</t>
        </is>
      </c>
      <c r="B77" t="inlineStr">
        <is>
          <t>Formulaires</t>
        </is>
      </c>
      <c r="C77" t="inlineStr">
        <is>
          <t>A</t>
        </is>
      </c>
      <c r="D77" s="5" t="inlineStr">
        <is>
          <t>Dans chaque formulaire, chaque regroupement de champs de même nature a-t-il une légende ?</t>
        </is>
      </c>
      <c r="E77" s="7" t="inlineStr">
        <is>
          <t>C</t>
        </is>
      </c>
      <c r="F77" s="5" t="inlineStr">
        <is>
          <t>Chaque regroupement a une légende.</t>
        </is>
      </c>
      <c r="G77" s="5" t="inlineStr">
        <is>
          <t>/bonjour, /signaler</t>
        </is>
      </c>
      <c r="H77" s="5" t="inlineStr"/>
      <c r="I77" t="inlineStr">
        <is>
          <t>Camille Arnaud, 16/10/2026</t>
        </is>
      </c>
    </row>
    <row r="78">
      <c r="A78" t="inlineStr">
        <is>
          <t>11.7</t>
        </is>
      </c>
      <c r="B78" t="inlineStr">
        <is>
          <t>Formulaires</t>
        </is>
      </c>
      <c r="C78" t="inlineStr">
        <is>
          <t>A</t>
        </is>
      </c>
      <c r="D78" s="5" t="inlineStr">
        <is>
          <t>Dans chaque formulaire, chaque légende associée à un regroupement de champs de même nature est-elle pertinente ?</t>
        </is>
      </c>
      <c r="E78" s="7" t="inlineStr">
        <is>
          <t>C</t>
        </is>
      </c>
      <c r="F78" s="5" t="inlineStr">
        <is>
          <t>Légendes pertinentes.</t>
        </is>
      </c>
      <c r="G78" s="5" t="inlineStr">
        <is>
          <t>/bonjour, /signaler</t>
        </is>
      </c>
      <c r="H78" s="5" t="inlineStr"/>
      <c r="I78" t="inlineStr">
        <is>
          <t>Camille Arnaud, 16/10/2026</t>
        </is>
      </c>
    </row>
    <row r="79">
      <c r="A79" t="inlineStr">
        <is>
          <t>11.8</t>
        </is>
      </c>
      <c r="B79" t="inlineStr">
        <is>
          <t>Formulaires</t>
        </is>
      </c>
      <c r="C79" t="inlineStr">
        <is>
          <t>A</t>
        </is>
      </c>
      <c r="D79" s="5" t="inlineStr">
        <is>
          <t>Dans chaque formulaire, les items de même nature d’une liste de choix sont-ils regroupés de manière pertinente ?</t>
        </is>
      </c>
      <c r="E79" s="8" t="inlineStr">
        <is>
          <t>NA</t>
        </is>
      </c>
      <c r="F79" s="5" t="inlineStr">
        <is>
          <t>Aucune liste de choix (&lt;select&gt;) sur le site public.</t>
        </is>
      </c>
      <c r="G79" s="5" t="inlineStr"/>
      <c r="H79" s="5" t="inlineStr"/>
      <c r="I79" t="inlineStr">
        <is>
          <t>Camille Arnaud, 16/10/2026</t>
        </is>
      </c>
    </row>
    <row r="80">
      <c r="A80" t="inlineStr">
        <is>
          <t>11.9</t>
        </is>
      </c>
      <c r="B80" t="inlineStr">
        <is>
          <t>Formulaires</t>
        </is>
      </c>
      <c r="C80" t="inlineStr">
        <is>
          <t>A</t>
        </is>
      </c>
      <c r="D80" s="5" t="inlineStr">
        <is>
          <t>Dans chaque formulaire, l’intitulé de chaque bouton est-il pertinent (hors cas particuliers) ?</t>
        </is>
      </c>
      <c r="E80" s="6" t="inlineStr">
        <is>
          <t>NC</t>
        </is>
      </c>
      <c r="F80" s="5" t="inlineStr">
        <is>
          <t>Bouton J'aime : aria-label « J'aime » / « Je n'aime plus » qui ne contient pas l'intitulé visible « 0 j'aime » (11.9.2). Autres boutons (Envoyer, Chercher, Copier le lien, Pause) conformes.</t>
        </is>
      </c>
      <c r="G80" s="5" t="inlineStr">
        <is>
          <t>démo+prod : pages photo (views/photo.eta:21)</t>
        </is>
      </c>
      <c r="H80" s="5" t="inlineStr">
        <is>
          <t>Voir 7.1 : nom = texte visible, état par aria-pressed.</t>
        </is>
      </c>
      <c r="I80" t="inlineStr">
        <is>
          <t>Camille Arnaud, 16/10/2026</t>
        </is>
      </c>
    </row>
    <row r="81">
      <c r="A81" t="inlineStr">
        <is>
          <t>11.10</t>
        </is>
      </c>
      <c r="B81" t="inlineStr">
        <is>
          <t>Formulaires</t>
        </is>
      </c>
      <c r="C81" t="inlineStr">
        <is>
          <t>A</t>
        </is>
      </c>
      <c r="D81" s="5" t="inlineStr">
        <is>
          <t>Dans chaque formulaire, le contrôle de saisie est-il utilisé de manière pertinente (hors cas particuliers) ?</t>
        </is>
      </c>
      <c r="E81" s="6" t="inlineStr">
        <is>
          <t>NC</t>
        </is>
      </c>
      <c r="F81" s="5" t="inlineStr">
        <is>
          <t>Aucun champ n'est marqué obligatoire avant l'envoi (0 required / aria-required) : /signaler exige un choix dans « Que voulez-vous nous dire ? » ; /bonjour exige, selon les cas, l'e-mail (photo voulue, accord, demande d'accès), le nom (avec accord), la date et le lieu (sans carte), sans l'annoncer. Après envoi, messages clairs et aria-invalid posés (11.10.3 conforme), mais aria-describedby absent.</t>
        </is>
      </c>
      <c r="G81" s="5" t="inlineStr">
        <is>
          <t>démo+prod : /bonjour (server/encounters.js:125-140), /signaler (views/report.eta:18)</t>
        </is>
      </c>
      <c r="H81" s="5" t="inlineStr">
        <is>
          <t>Mentions « obligatoire » / « obligatoire si… » dans les libellés, required sur le groupe radio de /signaler ; relier chaque message à son champ (aria-describedby) et donner le focus au récapitulatif d'erreurs.</t>
        </is>
      </c>
      <c r="I81" t="inlineStr">
        <is>
          <t>Camille Arnaud, 16/10/2026</t>
        </is>
      </c>
    </row>
    <row r="82">
      <c r="A82" t="inlineStr">
        <is>
          <t>11.11</t>
        </is>
      </c>
      <c r="B82" t="inlineStr">
        <is>
          <t>Formulaires</t>
        </is>
      </c>
      <c r="C82" t="inlineStr">
        <is>
          <t>AA</t>
        </is>
      </c>
      <c r="D82" s="5" t="inlineStr">
        <is>
          <t>Dans chaque formulaire, le contrôle de saisie est-il accompagné, si nécessaire, de suggestions facilitant la correction des erreurs de saisie ?</t>
        </is>
      </c>
      <c r="E82" s="7" t="inlineStr">
        <is>
          <t>C</t>
        </is>
      </c>
      <c r="F82" s="5" t="inlineStr">
        <is>
          <t>Les messages d'erreur proposent la correction (« une lettre et un numéro, comme sur la carte (J-0142) », « indiquez au moins la date et le lieu »).</t>
        </is>
      </c>
      <c r="G82" s="5" t="inlineStr">
        <is>
          <t>/bonjour, /signaler</t>
        </is>
      </c>
      <c r="H82" s="5" t="inlineStr"/>
      <c r="I82" t="inlineStr">
        <is>
          <t>Camille Arnaud, 16/10/2026</t>
        </is>
      </c>
    </row>
    <row r="83">
      <c r="A83" t="inlineStr">
        <is>
          <t>11.12</t>
        </is>
      </c>
      <c r="B83" t="inlineStr">
        <is>
          <t>Formulaires</t>
        </is>
      </c>
      <c r="C83" t="inlineStr">
        <is>
          <t>AA</t>
        </is>
      </c>
      <c r="D83" s="5" t="inlineStr">
        <is>
          <t>Pour chaque formulaire qui modifie ou supprime des données, ou qui transmet des réponses à un test ou à un examen, ou dont la validation a des conséquences financières ou juridiques, les données saisies peuvent-elles être modifiées, mises à jour ou récupérées par l’utilisateur ?</t>
        </is>
      </c>
      <c r="E83" s="7" t="inlineStr">
        <is>
          <t>C</t>
        </is>
      </c>
      <c r="F83" s="5" t="inlineStr">
        <is>
          <t>Formulaire à portée juridique (/bonjour : accord de publication, droits RGPD) : choix explicites par cases et radios, données conservées en cas d'erreur, et la personne peut changer d'avis ensuite (« revenez sur cette page »).</t>
        </is>
      </c>
      <c r="G83" s="5" t="inlineStr">
        <is>
          <t>/bonjour</t>
        </is>
      </c>
      <c r="H83" s="5" t="inlineStr"/>
      <c r="I83" t="inlineStr">
        <is>
          <t>Camille Arnaud, 16/10/2026</t>
        </is>
      </c>
    </row>
    <row r="84">
      <c r="A84" t="inlineStr">
        <is>
          <t>11.13</t>
        </is>
      </c>
      <c r="B84" t="inlineStr">
        <is>
          <t>Formulaires</t>
        </is>
      </c>
      <c r="C84" t="inlineStr">
        <is>
          <t>AA</t>
        </is>
      </c>
      <c r="D84" s="5" t="inlineStr">
        <is>
          <t>La finalité d’un champ de saisie peut-elle être déduite pour faciliter le remplissage automatique des champs avec les données de l’utilisateur ?</t>
        </is>
      </c>
      <c r="E84" s="7" t="inlineStr">
        <is>
          <t>C</t>
        </is>
      </c>
      <c r="F84" s="5" t="inlineStr">
        <is>
          <t>E-mail autocomplete="email", nom autocomplete="name" (/bonjour, /signaler). Le contrôle de la sonde vise la case « scope_name » (avec mon prénom) : faux positif.</t>
        </is>
      </c>
      <c r="G84" s="5" t="inlineStr">
        <is>
          <t>/bonjour, /signaler</t>
        </is>
      </c>
      <c r="H84" s="5" t="inlineStr"/>
      <c r="I84" t="inlineStr">
        <is>
          <t>Camille Arnaud, 16/10/2026</t>
        </is>
      </c>
    </row>
    <row r="85">
      <c r="A85" t="inlineStr">
        <is>
          <t>12.1</t>
        </is>
      </c>
      <c r="B85" t="inlineStr">
        <is>
          <t>Navigation</t>
        </is>
      </c>
      <c r="C85" t="inlineStr">
        <is>
          <t>AA</t>
        </is>
      </c>
      <c r="D85" s="5" t="inlineStr">
        <is>
          <t>Chaque ensemble de pages dispose-t-il de deux systèmes de navigation différents, au moins (hors cas particuliers) ?</t>
        </is>
      </c>
      <c r="E85" s="6" t="inlineStr">
        <is>
          <t>NC</t>
        </is>
      </c>
      <c r="F85" s="5" t="inlineStr">
        <is>
          <t>L'ensemble des pages photo (la visionneuse, pages les plus partagées) n'a ni menu, ni recherche, ni plan : seulement Fermer, précédente/suivante et « À proximité ». Les autres ensembles ont menu + recherche.</t>
        </is>
      </c>
      <c r="G85" s="5" t="inlineStr">
        <is>
          <t>démo+prod : toutes les pages /photo/… (views/photo.eta)</t>
        </is>
      </c>
      <c r="H85" s="5" t="inlineStr">
        <is>
          <t>Dans la barre du haut de la visionneuse : logo (lien accueil) + loupe « Rechercher » + « Menu » discret ; l'immersion reste intacte.</t>
        </is>
      </c>
      <c r="I85" t="inlineStr">
        <is>
          <t>Camille Arnaud, 16/10/2026</t>
        </is>
      </c>
    </row>
    <row r="86">
      <c r="A86" t="inlineStr">
        <is>
          <t>12.2</t>
        </is>
      </c>
      <c r="B86" t="inlineStr">
        <is>
          <t>Navigation</t>
        </is>
      </c>
      <c r="C86" t="inlineStr">
        <is>
          <t>AA</t>
        </is>
      </c>
      <c r="D86" s="5" t="inlineStr">
        <is>
          <t>Dans chaque ensemble de pages, le menu et les barres de navigation sont-ils toujours à la même place (hors cas particuliers) ?</t>
        </is>
      </c>
      <c r="E86" s="7" t="inlineStr">
        <is>
          <t>C</t>
        </is>
      </c>
      <c r="F86" s="5" t="inlineStr">
        <is>
          <t>Menu et sélecteur de langue à la même place et dans le même ordre sur toutes les pages qui en ont un.</t>
        </is>
      </c>
      <c r="G86" s="5" t="inlineStr">
        <is>
          <t>pages avec menu</t>
        </is>
      </c>
      <c r="H86" s="5" t="inlineStr"/>
      <c r="I86" t="inlineStr">
        <is>
          <t>Camille Arnaud, 16/10/2026</t>
        </is>
      </c>
    </row>
    <row r="87">
      <c r="A87" t="inlineStr">
        <is>
          <t>12.3</t>
        </is>
      </c>
      <c r="B87" t="inlineStr">
        <is>
          <t>Navigation</t>
        </is>
      </c>
      <c r="C87" t="inlineStr">
        <is>
          <t>AA</t>
        </is>
      </c>
      <c r="D87" s="5" t="inlineStr">
        <is>
          <t>La page « plan du site » est-elle pertinente ?</t>
        </is>
      </c>
      <c r="E87" s="8" t="inlineStr">
        <is>
          <t>NA</t>
        </is>
      </c>
      <c r="F87" s="5" t="inlineStr">
        <is>
          <t>Pas de page plan du site.</t>
        </is>
      </c>
      <c r="G87" s="5" t="inlineStr"/>
      <c r="H87" s="5" t="inlineStr"/>
      <c r="I87" t="inlineStr">
        <is>
          <t>Camille Arnaud, 16/10/2026</t>
        </is>
      </c>
    </row>
    <row r="88">
      <c r="A88" t="inlineStr">
        <is>
          <t>12.4</t>
        </is>
      </c>
      <c r="B88" t="inlineStr">
        <is>
          <t>Navigation</t>
        </is>
      </c>
      <c r="C88" t="inlineStr">
        <is>
          <t>AA</t>
        </is>
      </c>
      <c r="D88" s="5" t="inlineStr">
        <is>
          <t>Dans chaque ensemble de pages, la page « plan du site » est-elle accessible à partir d’une fonctionnalité identique ?</t>
        </is>
      </c>
      <c r="E88" s="8" t="inlineStr">
        <is>
          <t>NA</t>
        </is>
      </c>
      <c r="F88" s="5" t="inlineStr">
        <is>
          <t>Pas de page plan du site.</t>
        </is>
      </c>
      <c r="G88" s="5" t="inlineStr"/>
      <c r="H88" s="5" t="inlineStr"/>
      <c r="I88" t="inlineStr">
        <is>
          <t>Camille Arnaud, 16/10/2026</t>
        </is>
      </c>
    </row>
    <row r="89">
      <c r="A89" t="inlineStr">
        <is>
          <t>12.5</t>
        </is>
      </c>
      <c r="B89" t="inlineStr">
        <is>
          <t>Navigation</t>
        </is>
      </c>
      <c r="C89" t="inlineStr">
        <is>
          <t>AA</t>
        </is>
      </c>
      <c r="D89" s="5" t="inlineStr">
        <is>
          <t>Dans chaque ensemble de pages, le moteur de recherche est-il atteignable de manière identique ?</t>
        </is>
      </c>
      <c r="E89" s="7" t="inlineStr">
        <is>
          <t>C</t>
        </is>
      </c>
      <c r="F89" s="5" t="inlineStr">
        <is>
          <t>Recherche atteinte par le même lien du menu, à la même place, sur chaque page qui a le menu (l'absence sur les pages photo est traitée en 12.1).</t>
        </is>
      </c>
      <c r="G89" s="5" t="inlineStr">
        <is>
          <t>pages avec menu</t>
        </is>
      </c>
      <c r="H89" s="5" t="inlineStr"/>
      <c r="I89" t="inlineStr">
        <is>
          <t>Camille Arnaud, 16/10/2026</t>
        </is>
      </c>
    </row>
    <row r="90">
      <c r="A90" t="inlineStr">
        <is>
          <t>12.6</t>
        </is>
      </c>
      <c r="B90" t="inlineStr">
        <is>
          <t>Navigation</t>
        </is>
      </c>
      <c r="C90" t="inlineStr">
        <is>
          <t>A</t>
        </is>
      </c>
      <c r="D90" s="5" t="inlineStr">
        <is>
          <t>Les zones de regroupement de contenus présentes dans plusieurs pages web (zones d’en-tête, de navigation principale, de contenu principal, de pied de page et de moteur de recherche) peuvent-elles être atteintes ou évitées ?</t>
        </is>
      </c>
      <c r="E90" s="6" t="inlineStr">
        <is>
          <t>NC</t>
        </is>
      </c>
      <c r="F90" s="5" t="inlineStr">
        <is>
          <t>Pages galerie : la zone d'en-tête (logo + menu) est un &lt;header&gt; imbriqué dans &lt;section class="hero"&gt; : il n'est pas exposé comme repère banner (arbre d'accessibilité), n'a pas de titre et aucun lien d'évitement ne permet de la passer. Les autres pages exposent banner, navigation, main, contentinfo.</t>
        </is>
      </c>
      <c r="G90" s="5" t="inlineStr">
        <is>
          <t>démo+prod : /, /serie/…, /auteur/… (views/home.eta:13)</t>
        </is>
      </c>
      <c r="H90" s="5" t="inlineStr">
        <is>
          <t>Sortir le &lt;header&gt; de la section (ou role="banner" explicite) et ajouter le lien d'évitement (12.7).</t>
        </is>
      </c>
      <c r="I90" t="inlineStr">
        <is>
          <t>Camille Arnaud, 16/10/2026</t>
        </is>
      </c>
    </row>
    <row r="91">
      <c r="A91" t="inlineStr">
        <is>
          <t>12.7</t>
        </is>
      </c>
      <c r="B91" t="inlineStr">
        <is>
          <t>Navigation</t>
        </is>
      </c>
      <c r="C91" t="inlineStr">
        <is>
          <t>AA</t>
        </is>
      </c>
      <c r="D91" s="5" t="inlineStr">
        <is>
          <t>Dans chaque page web, un lien d’évitement ou d’accès rapide à la zone de contenu principal est-il présent (hors cas particuliers) ?</t>
        </is>
      </c>
      <c r="E91" s="6" t="inlineStr">
        <is>
          <t>NC</t>
        </is>
      </c>
      <c r="F91" s="5" t="inlineStr">
        <is>
          <t>Aucun lien d'évitement ni d'accès rapide sur le site public ; à l'accueil il faut 18 tabulations avant le premier lien du contenu principal (logo, 6 liens, langue, Voir la photo, 7 vignettes, Pause). La sonde avait laissé passer l'accueil (lien d'ancre « #series » pris pour un évitement).</t>
        </is>
      </c>
      <c r="G91" s="5" t="inlineStr">
        <is>
          <t>démo+prod : toutes les pages (views/layout.eta:48)</t>
        </is>
      </c>
      <c r="H91" s="5" t="inlineStr">
        <is>
          <t>&lt;a class="skip" href="#contenu"&gt;Aller au contenu&lt;/a&gt; en premier élément du body, visible au focus ; id="contenu" sur chaque &lt;main&gt; (y compris la visionneuse).</t>
        </is>
      </c>
      <c r="I91" t="inlineStr">
        <is>
          <t>Camille Arnaud, 16/10/2026</t>
        </is>
      </c>
    </row>
    <row r="92">
      <c r="A92" t="inlineStr">
        <is>
          <t>12.8</t>
        </is>
      </c>
      <c r="B92" t="inlineStr">
        <is>
          <t>Navigation</t>
        </is>
      </c>
      <c r="C92" t="inlineStr">
        <is>
          <t>A</t>
        </is>
      </c>
      <c r="D92" s="5" t="inlineStr">
        <is>
          <t>Dans chaque page web, l’ordre de tabulation est-il cohérent ?</t>
        </is>
      </c>
      <c r="E92" s="6" t="inlineStr">
        <is>
          <t>NC</t>
        </is>
      </c>
      <c r="F92" s="5" t="inlineStr">
        <is>
          <t>Après activation d'un filtre de série au clavier (Entrée sur « Atlantique »), la page défile jusqu'à la galerie mais le focus part sur le lien « Les deux · 22 photos », 814 px au-dessus, hors écran (même href /serie/atlantique, trouvé en premier par site.js:126). Le Tab suivant remonte dans les regards. Parcours au Tab des 12 pages : ordre cohérent ailleurs, fenêtre Partager contenue.</t>
        </is>
      </c>
      <c r="G92" s="5" t="inlineStr">
        <is>
          <t>démo+prod : accueil, séries, photographes (public/js/site.js:126-128)</t>
        </is>
      </c>
      <c r="H92" s="5" t="inlineStr">
        <is>
          <t>Retrouver le lien activé par son rôle (même bloc #series / #regards) et non par son seul href, ou garder une référence à l'élément cliqué avant le remplacement.</t>
        </is>
      </c>
      <c r="I92" t="inlineStr">
        <is>
          <t>Camille Arnaud, 16/10/2026</t>
        </is>
      </c>
    </row>
    <row r="93">
      <c r="A93" t="inlineStr">
        <is>
          <t>12.9</t>
        </is>
      </c>
      <c r="B93" t="inlineStr">
        <is>
          <t>Navigation</t>
        </is>
      </c>
      <c r="C93" t="inlineStr">
        <is>
          <t>A</t>
        </is>
      </c>
      <c r="D93" s="5" t="inlineStr">
        <is>
          <t>Dans chaque page web, la navigation ne doit pas contenir de piège au clavier. Cette règle est-elle respectée ?</t>
        </is>
      </c>
      <c r="E93" s="7" t="inlineStr">
        <is>
          <t>C</t>
        </is>
      </c>
      <c r="F93" s="5" t="inlineStr">
        <is>
          <t>Aucun piège : chaque parcours au Tab sort de la page ; Échap ferme la fenêtre Partager et la liste des langues, le focus revient au déclencheur.</t>
        </is>
      </c>
      <c r="G93" s="5" t="inlineStr">
        <is>
          <t>démo</t>
        </is>
      </c>
      <c r="H93" s="5" t="inlineStr"/>
      <c r="I93" t="inlineStr">
        <is>
          <t>Camille Arnaud, 16/10/2026</t>
        </is>
      </c>
    </row>
    <row r="94">
      <c r="A94" t="inlineStr">
        <is>
          <t>12.10</t>
        </is>
      </c>
      <c r="B94" t="inlineStr">
        <is>
          <t>Navigation</t>
        </is>
      </c>
      <c r="C94" t="inlineStr">
        <is>
          <t>A</t>
        </is>
      </c>
      <c r="D94" s="5" t="inlineStr">
        <is>
          <t>Dans chaque page web, les raccourcis clavier n’utilisant qu’une seule touche (lettre minuscule ou majuscule, ponctuation, chiffre ou symbole) sont-ils contrôlables par l’utilisateur ?</t>
        </is>
      </c>
      <c r="E94" s="7" t="inlineStr">
        <is>
          <t>C</t>
        </is>
      </c>
      <c r="F94" s="5" t="inlineStr">
        <is>
          <t>Raccourcis de la visionneuse sur Échap et flèches seulement (pas de touche caractère).</t>
        </is>
      </c>
      <c r="G94" s="5" t="inlineStr">
        <is>
          <t>démo</t>
        </is>
      </c>
      <c r="H94" s="5" t="inlineStr"/>
      <c r="I94" t="inlineStr">
        <is>
          <t>Camille Arnaud, 16/10/2026</t>
        </is>
      </c>
    </row>
    <row r="95">
      <c r="A95" t="inlineStr">
        <is>
          <t>12.11</t>
        </is>
      </c>
      <c r="B95" t="inlineStr">
        <is>
          <t>Navigation</t>
        </is>
      </c>
      <c r="C95" t="inlineStr">
        <is>
          <t>A</t>
        </is>
      </c>
      <c r="D95" s="5" t="inlineStr">
        <is>
          <t>Dans chaque page web, les contenus additionnels apparaissant au survol, à la prise de focus ou à l’activation d’un composant d’interface sont-ils si nécessaire atteignables au clavier ?</t>
        </is>
      </c>
      <c r="E95" s="7" t="inlineStr">
        <is>
          <t>C</t>
        </is>
      </c>
      <c r="F95" s="5" t="inlineStr">
        <is>
          <t>Contenus additionnels atteignables au clavier : liste des langues (summary + Entrée), fenêtre Partager, « Lire la suite ».</t>
        </is>
      </c>
      <c r="G95" s="5" t="inlineStr">
        <is>
          <t>démo</t>
        </is>
      </c>
      <c r="H95" s="5" t="inlineStr"/>
      <c r="I95" t="inlineStr">
        <is>
          <t>Camille Arnaud, 16/10/2026</t>
        </is>
      </c>
    </row>
    <row r="96">
      <c r="A96" t="inlineStr">
        <is>
          <t>13.1</t>
        </is>
      </c>
      <c r="B96" t="inlineStr">
        <is>
          <t>Consultation</t>
        </is>
      </c>
      <c r="C96" t="inlineStr">
        <is>
          <t>A</t>
        </is>
      </c>
      <c r="D96" s="5" t="inlineStr">
        <is>
          <t>Pour chaque page web, l’utilisateur a-t-il le contrôle de chaque limite de temps modifiant le contenu (hors cas particuliers) ?</t>
        </is>
      </c>
      <c r="E96" s="7" t="inlineStr">
        <is>
          <t>C</t>
        </is>
      </c>
      <c r="F96" s="5" t="inlineStr">
        <is>
          <t>Pas de rafraîchissement, de redirection automatique ni de limite de session sur le site public.</t>
        </is>
      </c>
      <c r="G96" s="5" t="inlineStr">
        <is>
          <t>toutes pages</t>
        </is>
      </c>
      <c r="H96" s="5" t="inlineStr"/>
      <c r="I96" t="inlineStr">
        <is>
          <t>Camille Arnaud, 16/10/2026</t>
        </is>
      </c>
    </row>
    <row r="97">
      <c r="A97" t="inlineStr">
        <is>
          <t>13.2</t>
        </is>
      </c>
      <c r="B97" t="inlineStr">
        <is>
          <t>Consultation</t>
        </is>
      </c>
      <c r="C97" t="inlineStr">
        <is>
          <t>A</t>
        </is>
      </c>
      <c r="D97" s="5" t="inlineStr">
        <is>
          <t>Dans chaque page web, l’ouverture d’une nouvelle fenêtre ne doit pas être déclenchée sans action de l’utilisateur. Cette règle est-elle respectée ?</t>
        </is>
      </c>
      <c r="E97" s="7" t="inlineStr">
        <is>
          <t>C</t>
        </is>
      </c>
      <c r="F97" s="5" t="inlineStr">
        <is>
          <t>Aucune fenêtre ouverte sans action (les liens des réseaux de partage s'ouvrent dans un nouvel onglet au clic ; le signaler dans l'intitulé serait une bonne pratique, Opquast 139).</t>
        </is>
      </c>
      <c r="G97" s="5" t="inlineStr">
        <is>
          <t>démo+prod</t>
        </is>
      </c>
      <c r="H97" s="5" t="inlineStr"/>
      <c r="I97" t="inlineStr">
        <is>
          <t>Camille Arnaud, 16/10/2026</t>
        </is>
      </c>
    </row>
    <row r="98">
      <c r="A98" t="inlineStr">
        <is>
          <t>13.3</t>
        </is>
      </c>
      <c r="B98" t="inlineStr">
        <is>
          <t>Consultation</t>
        </is>
      </c>
      <c r="C98" t="inlineStr">
        <is>
          <t>A</t>
        </is>
      </c>
      <c r="D98" s="5" t="inlineStr">
        <is>
          <t>Dans chaque page web, chaque document bureautique en téléchargement possède-t-il, si nécessaire, une version accessible (hors cas particuliers) ?</t>
        </is>
      </c>
      <c r="E98" s="8" t="inlineStr">
        <is>
          <t>NA</t>
        </is>
      </c>
      <c r="F98" s="5" t="inlineStr">
        <is>
          <t>Aucun document bureautique en téléchargement (la photo offerte est un JPEG).</t>
        </is>
      </c>
      <c r="G98" s="5" t="inlineStr"/>
      <c r="H98" s="5" t="inlineStr"/>
      <c r="I98" t="inlineStr">
        <is>
          <t>Camille Arnaud, 16/10/2026</t>
        </is>
      </c>
    </row>
    <row r="99">
      <c r="A99" t="inlineStr">
        <is>
          <t>13.4</t>
        </is>
      </c>
      <c r="B99" t="inlineStr">
        <is>
          <t>Consultation</t>
        </is>
      </c>
      <c r="C99" t="inlineStr">
        <is>
          <t>A</t>
        </is>
      </c>
      <c r="D99" s="5" t="inlineStr">
        <is>
          <t>Pour chaque document bureautique ayant une version accessible, cette version offre-t-elle la même information ?</t>
        </is>
      </c>
      <c r="E99" s="8" t="inlineStr">
        <is>
          <t>NA</t>
        </is>
      </c>
      <c r="F99" s="5" t="inlineStr">
        <is>
          <t>Aucun document bureautique.</t>
        </is>
      </c>
      <c r="G99" s="5" t="inlineStr"/>
      <c r="H99" s="5" t="inlineStr"/>
      <c r="I99" t="inlineStr">
        <is>
          <t>Camille Arnaud, 16/10/2026</t>
        </is>
      </c>
    </row>
    <row r="100">
      <c r="A100" t="inlineStr">
        <is>
          <t>13.5</t>
        </is>
      </c>
      <c r="B100" t="inlineStr">
        <is>
          <t>Consultation</t>
        </is>
      </c>
      <c r="C100" t="inlineStr">
        <is>
          <t>A</t>
        </is>
      </c>
      <c r="D100" s="5" t="inlineStr">
        <is>
          <t>Dans chaque page web, chaque contenu cryptique (art ASCII, émoticône, syntaxe cryptique) a-t-il une alternative ?</t>
        </is>
      </c>
      <c r="E100" s="7" t="inlineStr">
        <is>
          <t>C</t>
        </is>
      </c>
      <c r="F100" s="5" t="inlineStr">
        <is>
          <t>Contenus cryptiques doublés : ✕ (aria-label Fermer), initiale du photographe aria-hidden + nom complet masqué, numéros d'étape nommés.</t>
        </is>
      </c>
      <c r="G100" s="5" t="inlineStr">
        <is>
          <t>toutes pages</t>
        </is>
      </c>
      <c r="H100" s="5" t="inlineStr"/>
      <c r="I100" t="inlineStr">
        <is>
          <t>Camille Arnaud, 16/10/2026</t>
        </is>
      </c>
    </row>
    <row r="101">
      <c r="A101" t="inlineStr">
        <is>
          <t>13.6</t>
        </is>
      </c>
      <c r="B101" t="inlineStr">
        <is>
          <t>Consultation</t>
        </is>
      </c>
      <c r="C101" t="inlineStr">
        <is>
          <t>A</t>
        </is>
      </c>
      <c r="D101" s="5" t="inlineStr">
        <is>
          <t>Dans chaque page web, pour chaque contenu cryptique (art ASCII, émoticône, syntaxe cryptique) ayant une alternative, cette alternative est-elle pertinente ?</t>
        </is>
      </c>
      <c r="E101" s="7" t="inlineStr">
        <is>
          <t>C</t>
        </is>
      </c>
      <c r="F101" s="5" t="inlineStr">
        <is>
          <t>Alternatives pertinentes pour ces contenus.</t>
        </is>
      </c>
      <c r="G101" s="5" t="inlineStr">
        <is>
          <t>toutes pages</t>
        </is>
      </c>
      <c r="H101" s="5" t="inlineStr"/>
      <c r="I101" t="inlineStr">
        <is>
          <t>Camille Arnaud, 16/10/2026</t>
        </is>
      </c>
    </row>
    <row r="102">
      <c r="A102" t="inlineStr">
        <is>
          <t>13.7</t>
        </is>
      </c>
      <c r="B102" t="inlineStr">
        <is>
          <t>Consultation</t>
        </is>
      </c>
      <c r="C102" t="inlineStr">
        <is>
          <t>A</t>
        </is>
      </c>
      <c r="D102" s="5" t="inlineStr">
        <is>
          <t>Dans chaque page web, les changements brusques de luminosité ou les effets de flash sont-ils correctement utilisés ?</t>
        </is>
      </c>
      <c r="E102" s="8" t="inlineStr">
        <is>
          <t>NA</t>
        </is>
      </c>
      <c r="F102" s="5" t="inlineStr">
        <is>
          <t>Aucun flash ni changement brusque de luminosité (fondu de 1,4 s entre diapositives).</t>
        </is>
      </c>
      <c r="G102" s="5" t="inlineStr"/>
      <c r="H102" s="5" t="inlineStr"/>
      <c r="I102" t="inlineStr">
        <is>
          <t>Camille Arnaud, 16/10/2026</t>
        </is>
      </c>
    </row>
    <row r="103">
      <c r="A103" t="inlineStr">
        <is>
          <t>13.8</t>
        </is>
      </c>
      <c r="B103" t="inlineStr">
        <is>
          <t>Consultation</t>
        </is>
      </c>
      <c r="C103" t="inlineStr">
        <is>
          <t>A</t>
        </is>
      </c>
      <c r="D103" s="5" t="inlineStr">
        <is>
          <t>Dans chaque page web, chaque contenu en mouvement ou clignotant est-il contrôlable par l’utilisateur ?</t>
        </is>
      </c>
      <c r="E103" s="7" t="inlineStr">
        <is>
          <t>C</t>
        </is>
      </c>
      <c r="F103" s="5" t="inlineStr">
        <is>
          <t>Diaporama de l'ouverture (6 s par diapositive) : bouton Pause/Lecture atteignable au clavier (mesuré : la diapositive ne change plus), arrêt au survol et au focus (mesuré), aucun défilement si « réduire les animations » est demandé.</t>
        </is>
      </c>
      <c r="G103" s="5" t="inlineStr">
        <is>
          <t>démo+prod : /, /serie/…, /auteur/…</t>
        </is>
      </c>
      <c r="H103" s="5" t="inlineStr"/>
      <c r="I103" t="inlineStr">
        <is>
          <t>Camille Arnaud, 16/10/2026</t>
        </is>
      </c>
    </row>
    <row r="104">
      <c r="A104" t="inlineStr">
        <is>
          <t>13.9</t>
        </is>
      </c>
      <c r="B104" t="inlineStr">
        <is>
          <t>Consultation</t>
        </is>
      </c>
      <c r="C104" t="inlineStr">
        <is>
          <t>AA</t>
        </is>
      </c>
      <c r="D104" s="5" t="inlineStr">
        <is>
          <t>Dans chaque page web, le contenu proposé est-il consultable quelle que soit l’orientation de l’écran (portrait ou paysage) (hors cas particuliers) ?</t>
        </is>
      </c>
      <c r="E104" s="7" t="inlineStr">
        <is>
          <t>C</t>
        </is>
      </c>
      <c r="F104" s="5" t="inlineStr">
        <is>
          <t>Aucune orientation imposée.</t>
        </is>
      </c>
      <c r="G104" s="5" t="inlineStr">
        <is>
          <t>toutes pages</t>
        </is>
      </c>
      <c r="H104" s="5" t="inlineStr"/>
      <c r="I104" t="inlineStr">
        <is>
          <t>Camille Arnaud, 16/10/2026</t>
        </is>
      </c>
    </row>
    <row r="105">
      <c r="A105" t="inlineStr">
        <is>
          <t>13.10</t>
        </is>
      </c>
      <c r="B105" t="inlineStr">
        <is>
          <t>Consultation</t>
        </is>
      </c>
      <c r="C105" t="inlineStr">
        <is>
          <t>A</t>
        </is>
      </c>
      <c r="D105" s="5" t="inlineStr">
        <is>
          <t>Dans chaque page web, les fonctionnalités utilisables ou disponibles au moyen d’un geste complexe peuvent-elles être également disponibles au moyen d’un geste simple (hors cas particuliers) ?</t>
        </is>
      </c>
      <c r="E105" s="7" t="inlineStr">
        <is>
          <t>C</t>
        </is>
      </c>
      <c r="F105" s="5" t="inlineStr">
        <is>
          <t>Gestes complexes doublés : glissé de la visionneuse (boutons précédente/suivante), glissé de l'ouverture (vignettes), pincement de la carte (boutons + et −). Le déplacement de la carte au glisser n'est pas un geste à trajectoire : traité en 7.3 et WCAG 2.5.7.</t>
        </is>
      </c>
      <c r="G105" s="5" t="inlineStr">
        <is>
          <t>démo+prod</t>
        </is>
      </c>
      <c r="H105" s="5" t="inlineStr"/>
      <c r="I105" t="inlineStr">
        <is>
          <t>Camille Arnaud, 16/10/2026</t>
        </is>
      </c>
    </row>
    <row r="106">
      <c r="A106" t="inlineStr">
        <is>
          <t>13.11</t>
        </is>
      </c>
      <c r="B106" t="inlineStr">
        <is>
          <t>Consultation</t>
        </is>
      </c>
      <c r="C106" t="inlineStr">
        <is>
          <t>A</t>
        </is>
      </c>
      <c r="D106" s="5" t="inlineStr">
        <is>
          <t>Dans chaque page web, les actions déclenchées au moyen d’un dispositif de pointage sur un point unique de l’écran peuvent-elles faire l’objet d’une annulation (hors cas particuliers) ?</t>
        </is>
      </c>
      <c r="E106" s="7" t="inlineStr">
        <is>
          <t>C</t>
        </is>
      </c>
      <c r="F106" s="5" t="inlineStr">
        <is>
          <t>Actions déclenchées au relâchement (click, touchend), annulables en sortant de la cible.</t>
        </is>
      </c>
      <c r="G106" s="5" t="inlineStr">
        <is>
          <t>démo</t>
        </is>
      </c>
      <c r="H106" s="5" t="inlineStr"/>
      <c r="I106" t="inlineStr">
        <is>
          <t>Camille Arnaud, 16/10/2026</t>
        </is>
      </c>
    </row>
    <row r="107">
      <c r="A107" t="inlineStr">
        <is>
          <t>13.12</t>
        </is>
      </c>
      <c r="B107" t="inlineStr">
        <is>
          <t>Consultation</t>
        </is>
      </c>
      <c r="C107" t="inlineStr">
        <is>
          <t>A</t>
        </is>
      </c>
      <c r="D107" s="5" t="inlineStr">
        <is>
          <t>Dans chaque page web, les fonctionnalités qui impliquent un mouvement de l’appareil ou vers l’appareil peuvent-elles être satisfaites de manière alternative (hors cas particuliers) ?</t>
        </is>
      </c>
      <c r="E107" s="8" t="inlineStr">
        <is>
          <t>NA</t>
        </is>
      </c>
      <c r="F107" s="5" t="inlineStr">
        <is>
          <t>Aucune fonction liée au mouvement de l'appareil.</t>
        </is>
      </c>
      <c r="G107" s="5" t="inlineStr"/>
      <c r="H107" s="5" t="inlineStr"/>
      <c r="I107" t="inlineStr">
        <is>
          <t>Camille Arnaud, 16/10/2026</t>
        </is>
      </c>
    </row>
  </sheetData>
  <dataValidations count="1">
    <dataValidation sqref="E2:E107" showDropDown="0" showInputMessage="0" showErrorMessage="0" allowBlank="0" type="list">
      <formula1>"C,NC,NA,NT"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40" customWidth="1" min="2" max="2"/>
  </cols>
  <sheetData>
    <row r="1">
      <c r="A1" t="inlineStr">
        <is>
          <t>Test</t>
        </is>
      </c>
      <c r="B1" t="inlineStr">
        <is>
          <t>Méthodologie officielle (DINUM)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2026-10-16T05:08:55Z</dcterms:created>
  <dcterms:modified xmlns:dcterms="http://purl.org/dc/terms/" xmlns:xsi="http://www.w3.org/2001/XMLSchema-instance" xsi:type="dcterms:W3CDTF">2026-10-16T05:08:55+00:00Z</dcterms:modified>
</cp:coreProperties>
</file>