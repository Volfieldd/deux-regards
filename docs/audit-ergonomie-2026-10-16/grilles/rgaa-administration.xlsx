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Grille" sheetId="2" state="visible" r:id="rId2"/>
    <sheet xmlns:r="http://schemas.openxmlformats.org/officeDocument/2006/relationships" name="WCAG 2.2 hors RGAA" sheetId="3" state="visible" r:id="rId3"/>
    <sheet xmlns:r="http://schemas.openxmlformats.org/officeDocument/2006/relationships" name="Échantill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D1C1A"/>
      </patternFill>
    </fill>
    <fill>
      <patternFill patternType="solid">
        <fgColor rgb="00DDF3E4"/>
      </patternFill>
    </fill>
    <fill>
      <patternFill patternType="solid">
        <fgColor rgb="00EDEDED"/>
      </patternFill>
    </fill>
    <fill>
      <patternFill patternType="solid">
        <fgColor rgb="00FBE0E0"/>
      </patternFill>
    </fill>
    <fill>
      <patternFill patternType="solid">
        <fgColor rgb="00FFF1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Grille RGAA 4.1.2 complétée — administration de Nicephos</t>
        </is>
      </c>
    </row>
    <row r="2">
      <c r="A2" t="inlineStr">
        <is>
          <t>Nicephos — administration /admin et app de terrain, copie privée de la démo (http://127.0.0.1:3097, mêmes données que http://127.0.0.1:3091), bureau 1440 × 900 et Pixel 7 (412 × 915), modes clair et sombre, connecté en Administrateur</t>
        </is>
      </c>
    </row>
    <row r="3">
      <c r="A3" t="inlineStr">
        <is>
          <t>16 octobre 2026 · Camille Arnaud · statuts : C, NC, NA, NT</t>
        </is>
      </c>
    </row>
    <row r="5">
      <c r="A5" s="2" t="inlineStr">
        <is>
          <t>Conformes (C)</t>
        </is>
      </c>
      <c r="B5">
        <f>COUNTIF(Grille!E:E,"C")</f>
        <v/>
      </c>
    </row>
    <row r="6">
      <c r="A6" s="2" t="inlineStr">
        <is>
          <t>Non conformes (NC)</t>
        </is>
      </c>
      <c r="B6">
        <f>COUNTIF(Grille!E:E,"NC")</f>
        <v/>
      </c>
    </row>
    <row r="7">
      <c r="A7" s="2" t="inlineStr">
        <is>
          <t>Non applicables (NA)</t>
        </is>
      </c>
      <c r="B7">
        <f>COUNTIF(Grille!E:E,"NA")</f>
        <v/>
      </c>
    </row>
    <row r="8">
      <c r="A8" s="2" t="inlineStr">
        <is>
          <t>Non testés (NT)</t>
        </is>
      </c>
      <c r="B8">
        <f>COUNTIF(Grille!E:E,"NT")</f>
        <v/>
      </c>
    </row>
    <row r="9">
      <c r="A9" s="2" t="inlineStr">
        <is>
          <t>Taux de conformité</t>
        </is>
      </c>
      <c r="B9" s="3">
        <f>IF(B8&gt;0,"non calculable : "&amp;B8&amp;" critère(s) non testé(s)",IF(B5+B6=0,"—",B5/(B5+B6)))</f>
        <v/>
      </c>
    </row>
    <row r="11">
      <c r="A11" t="inlineStr">
        <is>
          <t>Ce n’est pas une déclaration d’accessibilité.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55" customWidth="1" min="4" max="4"/>
    <col width="8" customWidth="1" min="5" max="5"/>
    <col width="80" customWidth="1" min="6" max="6"/>
    <col width="45" customWidth="1" min="7" max="7"/>
    <col width="10" customWidth="1" min="8" max="8"/>
  </cols>
  <sheetData>
    <row r="1">
      <c r="A1" s="4" t="inlineStr">
        <is>
          <t>Critère</t>
        </is>
      </c>
      <c r="B1" s="4" t="inlineStr">
        <is>
          <t>Thématique</t>
        </is>
      </c>
      <c r="C1" s="4" t="inlineStr">
        <is>
          <t>Niveau</t>
        </is>
      </c>
      <c r="D1" s="4" t="inlineStr">
        <is>
          <t>Intitulé</t>
        </is>
      </c>
      <c r="E1" s="4" t="inlineStr">
        <is>
          <t>Statut</t>
        </is>
      </c>
      <c r="F1" s="4" t="inlineStr">
        <is>
          <t>Constat</t>
        </is>
      </c>
      <c r="G1" s="4" t="inlineStr">
        <is>
          <t>Preuve</t>
        </is>
      </c>
      <c r="H1" s="4" t="inlineStr">
        <is>
          <t>Auto 15/10</t>
        </is>
      </c>
    </row>
    <row r="2">
      <c r="A2" t="inlineStr">
        <is>
          <t>1.1</t>
        </is>
      </c>
      <c r="B2" t="inlineStr">
        <is>
          <t>Images</t>
        </is>
      </c>
      <c r="C2" t="inlineStr">
        <is>
          <t>A</t>
        </is>
      </c>
      <c r="D2" s="5" t="inlineStr">
        <is>
          <t>Chaque image porteuse d’information a-t-elle une alternative textuelle ?</t>
        </is>
      </c>
      <c r="E2" s="6" t="inlineStr">
        <is>
          <t>C</t>
        </is>
      </c>
      <c r="F2" s="5" t="inlineStr">
        <is>
          <t>Images porteuses d’information pourvues d’une alternative : aperçu de l’inspecteur et loupe (alt = titre), QR (« QR de Julien, vers …/bonjour/J »), photo de repère, carte signée, aperçus Instagram et filigrane. Graphiques SVG masqués (aria-hidden) mais doublés d’une légende et d’un tableau (Statistiques).</t>
        </is>
      </c>
      <c r="G2" s="5" t="inlineStr">
        <is>
          <t>sonde ; t8-noms.txt ; t9-bureau-noms.txt ; views/admin/stats.eta:32-37</t>
        </is>
      </c>
      <c r="H2" t="inlineStr">
        <is>
          <t>C</t>
        </is>
      </c>
    </row>
    <row r="3">
      <c r="A3" t="inlineStr">
        <is>
          <t>1.2</t>
        </is>
      </c>
      <c r="B3" t="inlineStr">
        <is>
          <t>Images</t>
        </is>
      </c>
      <c r="C3" t="inlineStr">
        <is>
          <t>A</t>
        </is>
      </c>
      <c r="D3" s="5" t="inlineStr">
        <is>
          <t>Chaque image de décoration est-elle correctement ignorée par les technologies d’assistance ?</t>
        </is>
      </c>
      <c r="E3" s="6" t="inlineStr">
        <is>
          <t>C</t>
        </is>
      </c>
      <c r="F3" s="5" t="inlineStr">
        <is>
          <t>Vignettes décoratives en alt="" sans title (contrôle sur 29 pages : aucune img alt="" avec title) ; liens images doublons masqués (aria-hidden + tabindex=-1) dans la photothèque. Les vignettes des fiches Personne et Rencontre ne sont pas décoratives : voir 6.2.</t>
        </is>
      </c>
      <c r="G3" s="5" t="inlineStr">
        <is>
          <t>t13-divers.json</t>
        </is>
      </c>
      <c r="H3" t="inlineStr">
        <is>
          <t>NT</t>
        </is>
      </c>
    </row>
    <row r="4">
      <c r="A4" t="inlineStr">
        <is>
          <t>1.3</t>
        </is>
      </c>
      <c r="B4" t="inlineStr">
        <is>
          <t>Images</t>
        </is>
      </c>
      <c r="C4" t="inlineStr">
        <is>
          <t>A</t>
        </is>
      </c>
      <c r="D4" s="5" t="inlineStr">
        <is>
          <t>Pour chaque image porteuse d’information ayant une alternative textuelle, cette alternative est-elle pertinente (hors cas particuliers) ?</t>
        </is>
      </c>
      <c r="E4" s="6" t="inlineStr">
        <is>
          <t>C</t>
        </is>
      </c>
      <c r="F4" s="5" t="inlineStr">
        <is>
          <t>Alternatives pertinentes sur l’échantillon (titres de photo, QR avec destination, « Photo de la carte signée »).</t>
        </is>
      </c>
      <c r="G4" s="5" t="inlineStr">
        <is>
          <t>t9-bureau-noms.txt</t>
        </is>
      </c>
      <c r="H4" t="inlineStr">
        <is>
          <t>NT</t>
        </is>
      </c>
    </row>
    <row r="5">
      <c r="A5" t="inlineStr">
        <is>
          <t>1.4</t>
        </is>
      </c>
      <c r="B5" t="inlineStr">
        <is>
          <t>Images</t>
        </is>
      </c>
      <c r="C5" t="inlineStr">
        <is>
          <t>A</t>
        </is>
      </c>
      <c r="D5" s="5" t="inlineStr">
        <is>
          <t>Pour chaque image utilisée comme CAPTCHA ou comme image-test, ayant une alternative textuelle, cette alternative permet-elle d’identifier la nature et la fonction de l’image ?</t>
        </is>
      </c>
      <c r="E5" s="7" t="inlineStr">
        <is>
          <t>NA</t>
        </is>
      </c>
      <c r="F5" s="5" t="inlineStr">
        <is>
          <t>Pas de CAPTCHA ni d’image-test dans l’admin.</t>
        </is>
      </c>
      <c r="G5" s="5" t="inlineStr"/>
      <c r="H5" t="inlineStr">
        <is>
          <t>NT</t>
        </is>
      </c>
    </row>
    <row r="6">
      <c r="A6" t="inlineStr">
        <is>
          <t>1.5</t>
        </is>
      </c>
      <c r="B6" t="inlineStr">
        <is>
          <t>Images</t>
        </is>
      </c>
      <c r="C6" t="inlineStr">
        <is>
          <t>A</t>
        </is>
      </c>
      <c r="D6" s="5" t="inlineStr">
        <is>
          <t>Pour chaque image utilisée comme CAPTCHA, une solution d’accès alternatif au contenu ou à la fonction du CAPTCHA est-elle présente ?</t>
        </is>
      </c>
      <c r="E6" s="7" t="inlineStr">
        <is>
          <t>NA</t>
        </is>
      </c>
      <c r="F6" s="5" t="inlineStr">
        <is>
          <t>Pas de CAPTCHA.</t>
        </is>
      </c>
      <c r="G6" s="5" t="inlineStr"/>
      <c r="H6" t="inlineStr">
        <is>
          <t>NT</t>
        </is>
      </c>
    </row>
    <row r="7">
      <c r="A7" t="inlineStr">
        <is>
          <t>1.6</t>
        </is>
      </c>
      <c r="B7" t="inlineStr">
        <is>
          <t>Images</t>
        </is>
      </c>
      <c r="C7" t="inlineStr">
        <is>
          <t>A</t>
        </is>
      </c>
      <c r="D7" s="5" t="inlineStr">
        <is>
          <t>Chaque image porteuse d’information a-t-elle, si nécessaire, une description détaillée ?</t>
        </is>
      </c>
      <c r="E7" s="6" t="inlineStr">
        <is>
          <t>C</t>
        </is>
      </c>
      <c r="F7" s="5" t="inlineStr">
        <is>
          <t>Seule image complexe : la courbe de fréquentation (Statistiques), décrite par une légende et un tableau de données.</t>
        </is>
      </c>
      <c r="G7" s="5" t="inlineStr">
        <is>
          <t>views/admin/stats.eta:32-37</t>
        </is>
      </c>
      <c r="H7" t="inlineStr">
        <is>
          <t>NT</t>
        </is>
      </c>
    </row>
    <row r="8">
      <c r="A8" t="inlineStr">
        <is>
          <t>1.7</t>
        </is>
      </c>
      <c r="B8" t="inlineStr">
        <is>
          <t>Images</t>
        </is>
      </c>
      <c r="C8" t="inlineStr">
        <is>
          <t>A</t>
        </is>
      </c>
      <c r="D8" s="5" t="inlineStr">
        <is>
          <t>Pour chaque image porteuse d’information ayant une description détaillée, cette description est-elle pertinente ?</t>
        </is>
      </c>
      <c r="E8" s="6" t="inlineStr">
        <is>
          <t>C</t>
        </is>
      </c>
      <c r="F8" s="5" t="inlineStr">
        <is>
          <t>Le tableau reprend toutes les valeurs du graphique.</t>
        </is>
      </c>
      <c r="G8" s="5" t="inlineStr">
        <is>
          <t>views/admin/stats.eta:37</t>
        </is>
      </c>
      <c r="H8" t="inlineStr">
        <is>
          <t>NT</t>
        </is>
      </c>
    </row>
    <row r="9">
      <c r="A9" t="inlineStr">
        <is>
          <t>1.8</t>
        </is>
      </c>
      <c r="B9" t="inlineStr">
        <is>
          <t>Images</t>
        </is>
      </c>
      <c r="C9" t="inlineStr">
        <is>
          <t>AA</t>
        </is>
      </c>
      <c r="D9" s="5" t="inlineStr">
        <is>
          <t>Chaque image texte porteuse d’information, en l’absence d’un mécanisme de remplacement, doit si possible être remplacée par du texte stylé. Cette règle est-elle respectée (hors cas particuliers) ?</t>
        </is>
      </c>
      <c r="E9" s="6" t="inlineStr">
        <is>
          <t>C</t>
        </is>
      </c>
      <c r="F9" s="5" t="inlineStr">
        <is>
          <t>Pas d’image texte (logotype en masque CSS décoratif, nom du site en texte).</t>
        </is>
      </c>
      <c r="G9" s="5" t="inlineStr"/>
      <c r="H9" t="inlineStr">
        <is>
          <t>NT</t>
        </is>
      </c>
    </row>
    <row r="10">
      <c r="A10" t="inlineStr">
        <is>
          <t>1.9</t>
        </is>
      </c>
      <c r="B10" t="inlineStr">
        <is>
          <t>Images</t>
        </is>
      </c>
      <c r="C10" t="inlineStr">
        <is>
          <t>A</t>
        </is>
      </c>
      <c r="D10" s="5" t="inlineStr">
        <is>
          <t>Chaque légende d’image est-elle, si nécessaire, correctement reliée à l’image correspondante ?</t>
        </is>
      </c>
      <c r="E10" s="8" t="inlineStr">
        <is>
          <t>NC</t>
        </is>
      </c>
      <c r="F10" s="5" t="inlineStr">
        <is>
          <t>Images légendées en &lt;figure&gt;/&lt;figcaption&gt; sans role="figure" ni aria-label reprenant la légende : aperçu de la fiche photo, aperçu Instagram, aperçu du filigrane, QR (Terrain), photo de repère (Rencontre).</t>
        </is>
      </c>
      <c r="G10" s="5" t="inlineStr">
        <is>
          <t>t13-divers.json ; views/admin/encounter.eta:37 ; views/admin/photo.eta:34</t>
        </is>
      </c>
      <c r="H10" t="inlineStr">
        <is>
          <t>NT</t>
        </is>
      </c>
    </row>
    <row r="11">
      <c r="A11" t="inlineStr">
        <is>
          <t>2.1</t>
        </is>
      </c>
      <c r="B11" t="inlineStr">
        <is>
          <t>Cadres</t>
        </is>
      </c>
      <c r="C11" t="inlineStr">
        <is>
          <t>A</t>
        </is>
      </c>
      <c r="D11" s="5" t="inlineStr">
        <is>
          <t>Chaque cadre a-t-il un titre de cadre ?</t>
        </is>
      </c>
      <c r="E11" s="7" t="inlineStr">
        <is>
          <t>NA</t>
        </is>
      </c>
      <c r="F11" s="5" t="inlineStr">
        <is>
          <t>Aucun cadre.</t>
        </is>
      </c>
      <c r="G11" s="5" t="inlineStr"/>
      <c r="H11" t="inlineStr">
        <is>
          <t>NA</t>
        </is>
      </c>
    </row>
    <row r="12">
      <c r="A12" t="inlineStr">
        <is>
          <t>2.2</t>
        </is>
      </c>
      <c r="B12" t="inlineStr">
        <is>
          <t>Cadres</t>
        </is>
      </c>
      <c r="C12" t="inlineStr">
        <is>
          <t>A</t>
        </is>
      </c>
      <c r="D12" s="5" t="inlineStr">
        <is>
          <t>Pour chaque cadre ayant un titre de cadre, ce titre de cadre est-il pertinent ?</t>
        </is>
      </c>
      <c r="E12" s="7" t="inlineStr">
        <is>
          <t>NA</t>
        </is>
      </c>
      <c r="F12" s="5" t="inlineStr">
        <is>
          <t>Aucun cadre.</t>
        </is>
      </c>
      <c r="G12" s="5" t="inlineStr"/>
      <c r="H12" t="inlineStr">
        <is>
          <t>NA</t>
        </is>
      </c>
    </row>
    <row r="13">
      <c r="A13" t="inlineStr">
        <is>
          <t>3.1</t>
        </is>
      </c>
      <c r="B13" t="inlineStr">
        <is>
          <t>Couleurs</t>
        </is>
      </c>
      <c r="C13" t="inlineStr">
        <is>
          <t>A</t>
        </is>
      </c>
      <c r="D13" s="5" t="inlineStr">
        <is>
          <t>Dans chaque page web, l’information ne doit pas être donnée uniquement par la couleur. Cette règle est-elle respectée ?</t>
        </is>
      </c>
      <c r="E13" s="6" t="inlineStr">
        <is>
          <t>C</t>
        </is>
      </c>
      <c r="F13" s="5" t="inlineStr">
        <is>
          <t>États doublés d’un glyphe et d’un texte (○ Brouillon, ● Publiée, ▲ À vérifier, ✕ Bloquée) ; traductions manquantes barrées ; légende du graphique par forme (barre / ligne).</t>
        </is>
      </c>
      <c r="G13" s="5" t="inlineStr">
        <is>
          <t>views/admin/photos.eta:67,86 ; admin.css:976</t>
        </is>
      </c>
      <c r="H13" t="inlineStr">
        <is>
          <t>NT</t>
        </is>
      </c>
    </row>
    <row r="14">
      <c r="A14" t="inlineStr">
        <is>
          <t>3.2</t>
        </is>
      </c>
      <c r="B14" t="inlineStr">
        <is>
          <t>Couleurs</t>
        </is>
      </c>
      <c r="C14" t="inlineStr">
        <is>
          <t>AA</t>
        </is>
      </c>
      <c r="D14" s="5" t="inlineStr">
        <is>
          <t>Dans chaque page web, le contraste entre la couleur du texte et la couleur de son arrière-plan est-il suffisamment élevé (hors cas particuliers) ?</t>
        </is>
      </c>
      <c r="E14" s="8" t="inlineStr">
        <is>
          <t>NC</t>
        </is>
      </c>
      <c r="F14" s="5" t="inlineStr">
        <is>
          <t>Numéro de version du menu sur l’entrée active « Nouveautés » : #6B665D sur #E8E4DC = 4,49:1 en 10 px. Légendes posées sur les photos mesurées sur le rendu : 10,2 à 17,3:1 (conformes).</t>
        </is>
      </c>
      <c r="G14" s="5" t="inlineStr">
        <is>
          <t>demo-admin-bureau/admin-nouveautes.json (axe color-contrast) ; t7-contraste-vignettes.json</t>
        </is>
      </c>
      <c r="H14" t="inlineStr">
        <is>
          <t>NT</t>
        </is>
      </c>
    </row>
    <row r="15">
      <c r="A15" t="inlineStr">
        <is>
          <t>3.3</t>
        </is>
      </c>
      <c r="B15" t="inlineStr">
        <is>
          <t>Couleurs</t>
        </is>
      </c>
      <c r="C15" t="inlineStr">
        <is>
          <t>AA</t>
        </is>
      </c>
      <c r="D15" s="5" t="inlineStr">
        <is>
          <t>Dans chaque page web, les couleurs utilisées dans les composants d’interface ou les éléments graphiques porteurs d’informations sont-elles suffisamment contrastées (hors cas particuliers) ?</t>
        </is>
      </c>
      <c r="E15" s="8" t="inlineStr">
        <is>
          <t>NC</t>
        </is>
      </c>
      <c r="F15" s="5" t="inlineStr">
        <is>
          <t>Mode clair : l’indicateur de focus des champs (anneau #F0A94C de 1,5 px, contour natif supprimé) n’a que 1,73:1 avec le fond du champ et 2,0:1 avec le fond autour (3:1 exigé pour l’état « focus » d’un composant). Mode sombre conforme (8,9:1). Bordures des champs : 3,2:1 (conforme).</t>
        </is>
      </c>
      <c r="G15" s="5" t="inlineStr">
        <is>
          <t>t12-focus-contraste.json ; captures/t12-focus-champ-light.png ; admin.css:139</t>
        </is>
      </c>
      <c r="H15" t="inlineStr">
        <is>
          <t>NT</t>
        </is>
      </c>
    </row>
    <row r="16">
      <c r="A16" t="inlineStr">
        <is>
          <t>4.1</t>
        </is>
      </c>
      <c r="B16" t="inlineStr">
        <is>
          <t>Multimédia</t>
        </is>
      </c>
      <c r="C16" t="inlineStr">
        <is>
          <t>A</t>
        </is>
      </c>
      <c r="D16" s="5" t="inlineStr">
        <is>
          <t>Chaque média temporel pré-enregistré a-t-il, si nécessaire, une transcription textuelle ou une audiodescription (hors cas particuliers) ?</t>
        </is>
      </c>
      <c r="E16" s="7" t="inlineStr">
        <is>
          <t>NA</t>
        </is>
      </c>
      <c r="F16" s="5" t="inlineStr">
        <is>
          <t>Aucun média temporel.</t>
        </is>
      </c>
      <c r="G16" s="5" t="inlineStr"/>
      <c r="H16" t="inlineStr">
        <is>
          <t>NA</t>
        </is>
      </c>
    </row>
    <row r="17">
      <c r="A17" t="inlineStr">
        <is>
          <t>4.2</t>
        </is>
      </c>
      <c r="B17" t="inlineStr">
        <is>
          <t>Multimédia</t>
        </is>
      </c>
      <c r="C17" t="inlineStr">
        <is>
          <t>A</t>
        </is>
      </c>
      <c r="D17" s="5" t="inlineStr">
        <is>
          <t>Pour chaque média temporel pré-enregistré ayant une transcription textuelle ou une audiodescription synchronisée, celles-ci sont-elles pertinentes (hors cas particuliers) ?</t>
        </is>
      </c>
      <c r="E17" s="7" t="inlineStr">
        <is>
          <t>NA</t>
        </is>
      </c>
      <c r="F17" s="5" t="inlineStr">
        <is>
          <t>Aucun média temporel.</t>
        </is>
      </c>
      <c r="G17" s="5" t="inlineStr"/>
      <c r="H17" t="inlineStr">
        <is>
          <t>NA</t>
        </is>
      </c>
    </row>
    <row r="18">
      <c r="A18" t="inlineStr">
        <is>
          <t>4.3</t>
        </is>
      </c>
      <c r="B18" t="inlineStr">
        <is>
          <t>Multimédia</t>
        </is>
      </c>
      <c r="C18" t="inlineStr">
        <is>
          <t>A</t>
        </is>
      </c>
      <c r="D18" s="5" t="inlineStr">
        <is>
          <t>Chaque média temporel synchronisé pré-enregistré a-t-il, si nécessaire, des sous-titres synchronisés (hors cas particuliers) ?</t>
        </is>
      </c>
      <c r="E18" s="7" t="inlineStr">
        <is>
          <t>NA</t>
        </is>
      </c>
      <c r="F18" s="5" t="inlineStr">
        <is>
          <t>Aucun média temporel.</t>
        </is>
      </c>
      <c r="G18" s="5" t="inlineStr"/>
      <c r="H18" t="inlineStr">
        <is>
          <t>NA</t>
        </is>
      </c>
    </row>
    <row r="19">
      <c r="A19" t="inlineStr">
        <is>
          <t>4.4</t>
        </is>
      </c>
      <c r="B19" t="inlineStr">
        <is>
          <t>Multimédia</t>
        </is>
      </c>
      <c r="C19" t="inlineStr">
        <is>
          <t>A</t>
        </is>
      </c>
      <c r="D19" s="5" t="inlineStr">
        <is>
          <t>Pour chaque média temporel synchronisé pré-enregistré ayant des sous-titres synchronisés, ces sous-titres sont-ils pertinents ?</t>
        </is>
      </c>
      <c r="E19" s="7" t="inlineStr">
        <is>
          <t>NA</t>
        </is>
      </c>
      <c r="F19" s="5" t="inlineStr">
        <is>
          <t>Aucun média temporel.</t>
        </is>
      </c>
      <c r="G19" s="5" t="inlineStr"/>
      <c r="H19" t="inlineStr">
        <is>
          <t>NT</t>
        </is>
      </c>
    </row>
    <row r="20">
      <c r="A20" t="inlineStr">
        <is>
          <t>4.5</t>
        </is>
      </c>
      <c r="B20" t="inlineStr">
        <is>
          <t>Multimédia</t>
        </is>
      </c>
      <c r="C20" t="inlineStr">
        <is>
          <t>AA</t>
        </is>
      </c>
      <c r="D20" s="5" t="inlineStr">
        <is>
          <t>Chaque média temporel pré-enregistré a-t-il, si nécessaire, une audiodescription synchronisée (hors cas particuliers) ?</t>
        </is>
      </c>
      <c r="E20" s="7" t="inlineStr">
        <is>
          <t>NA</t>
        </is>
      </c>
      <c r="F20" s="5" t="inlineStr">
        <is>
          <t>Aucun média temporel.</t>
        </is>
      </c>
      <c r="G20" s="5" t="inlineStr"/>
      <c r="H20" t="inlineStr">
        <is>
          <t>NA</t>
        </is>
      </c>
    </row>
    <row r="21">
      <c r="A21" t="inlineStr">
        <is>
          <t>4.6</t>
        </is>
      </c>
      <c r="B21" t="inlineStr">
        <is>
          <t>Multimédia</t>
        </is>
      </c>
      <c r="C21" t="inlineStr">
        <is>
          <t>AA</t>
        </is>
      </c>
      <c r="D21" s="5" t="inlineStr">
        <is>
          <t>Pour chaque média temporel pré-enregistré ayant une audiodescription synchronisée, celle-ci est-elle pertinente ?</t>
        </is>
      </c>
      <c r="E21" s="7" t="inlineStr">
        <is>
          <t>NA</t>
        </is>
      </c>
      <c r="F21" s="5" t="inlineStr">
        <is>
          <t>Aucun média temporel.</t>
        </is>
      </c>
      <c r="G21" s="5" t="inlineStr"/>
      <c r="H21" t="inlineStr">
        <is>
          <t>NT</t>
        </is>
      </c>
    </row>
    <row r="22">
      <c r="A22" t="inlineStr">
        <is>
          <t>4.7</t>
        </is>
      </c>
      <c r="B22" t="inlineStr">
        <is>
          <t>Multimédia</t>
        </is>
      </c>
      <c r="C22" t="inlineStr">
        <is>
          <t>A</t>
        </is>
      </c>
      <c r="D22" s="5" t="inlineStr">
        <is>
          <t>Chaque média temporel est-il clairement identifiable (hors cas particuliers) ?</t>
        </is>
      </c>
      <c r="E22" s="7" t="inlineStr">
        <is>
          <t>NA</t>
        </is>
      </c>
      <c r="F22" s="5" t="inlineStr">
        <is>
          <t>Aucun média temporel.</t>
        </is>
      </c>
      <c r="G22" s="5" t="inlineStr"/>
      <c r="H22" t="inlineStr">
        <is>
          <t>NT</t>
        </is>
      </c>
    </row>
    <row r="23">
      <c r="A23" t="inlineStr">
        <is>
          <t>4.8</t>
        </is>
      </c>
      <c r="B23" t="inlineStr">
        <is>
          <t>Multimédia</t>
        </is>
      </c>
      <c r="C23" t="inlineStr">
        <is>
          <t>A</t>
        </is>
      </c>
      <c r="D23" s="5" t="inlineStr">
        <is>
          <t>Chaque média non temporel a-t-il, si nécessaire, une alternative (hors cas particuliers) ?</t>
        </is>
      </c>
      <c r="E23" s="7" t="inlineStr">
        <is>
          <t>NA</t>
        </is>
      </c>
      <c r="F23" s="5" t="inlineStr">
        <is>
          <t>Aucun média non temporel.</t>
        </is>
      </c>
      <c r="G23" s="5" t="inlineStr"/>
      <c r="H23" t="inlineStr">
        <is>
          <t>NA</t>
        </is>
      </c>
    </row>
    <row r="24">
      <c r="A24" t="inlineStr">
        <is>
          <t>4.9</t>
        </is>
      </c>
      <c r="B24" t="inlineStr">
        <is>
          <t>Multimédia</t>
        </is>
      </c>
      <c r="C24" t="inlineStr">
        <is>
          <t>A</t>
        </is>
      </c>
      <c r="D24" s="5" t="inlineStr">
        <is>
          <t>Pour chaque média non temporel ayant une alternative, cette alternative est-elle pertinente ?</t>
        </is>
      </c>
      <c r="E24" s="7" t="inlineStr">
        <is>
          <t>NA</t>
        </is>
      </c>
      <c r="F24" s="5" t="inlineStr">
        <is>
          <t>Aucun média non temporel.</t>
        </is>
      </c>
      <c r="G24" s="5" t="inlineStr"/>
      <c r="H24" t="inlineStr">
        <is>
          <t>NT</t>
        </is>
      </c>
    </row>
    <row r="25">
      <c r="A25" t="inlineStr">
        <is>
          <t>4.10</t>
        </is>
      </c>
      <c r="B25" t="inlineStr">
        <is>
          <t>Multimédia</t>
        </is>
      </c>
      <c r="C25" t="inlineStr">
        <is>
          <t>A</t>
        </is>
      </c>
      <c r="D25" s="5" t="inlineStr">
        <is>
          <t>Chaque son déclenché automatiquement est-il contrôlable par l’utilisateur ?</t>
        </is>
      </c>
      <c r="E25" s="7" t="inlineStr">
        <is>
          <t>NA</t>
        </is>
      </c>
      <c r="F25" s="5" t="inlineStr">
        <is>
          <t>Aucun son déclenché automatiquement.</t>
        </is>
      </c>
      <c r="G25" s="5" t="inlineStr"/>
      <c r="H25" t="inlineStr">
        <is>
          <t>NA</t>
        </is>
      </c>
    </row>
    <row r="26">
      <c r="A26" t="inlineStr">
        <is>
          <t>4.11</t>
        </is>
      </c>
      <c r="B26" t="inlineStr">
        <is>
          <t>Multimédia</t>
        </is>
      </c>
      <c r="C26" t="inlineStr">
        <is>
          <t>A</t>
        </is>
      </c>
      <c r="D26" s="5" t="inlineStr">
        <is>
          <t>La consultation de chaque média temporel est-elle, si nécessaire, contrôlable par le clavier et tout dispositif de pointage ?</t>
        </is>
      </c>
      <c r="E26" s="7" t="inlineStr">
        <is>
          <t>NA</t>
        </is>
      </c>
      <c r="F26" s="5" t="inlineStr">
        <is>
          <t>Aucun média.</t>
        </is>
      </c>
      <c r="G26" s="5" t="inlineStr"/>
      <c r="H26" t="inlineStr">
        <is>
          <t>NA</t>
        </is>
      </c>
    </row>
    <row r="27">
      <c r="A27" t="inlineStr">
        <is>
          <t>4.12</t>
        </is>
      </c>
      <c r="B27" t="inlineStr">
        <is>
          <t>Multimédia</t>
        </is>
      </c>
      <c r="C27" t="inlineStr">
        <is>
          <t>A</t>
        </is>
      </c>
      <c r="D27" s="5" t="inlineStr">
        <is>
          <t>La consultation de chaque média non temporel est-elle contrôlable par le clavier et tout dispositif de pointage ?</t>
        </is>
      </c>
      <c r="E27" s="7" t="inlineStr">
        <is>
          <t>NA</t>
        </is>
      </c>
      <c r="F27" s="5" t="inlineStr">
        <is>
          <t>Aucun média non temporel.</t>
        </is>
      </c>
      <c r="G27" s="5" t="inlineStr"/>
      <c r="H27" t="inlineStr">
        <is>
          <t>NT</t>
        </is>
      </c>
    </row>
    <row r="28">
      <c r="A28" t="inlineStr">
        <is>
          <t>4.13</t>
        </is>
      </c>
      <c r="B28" t="inlineStr">
        <is>
          <t>Multimédia</t>
        </is>
      </c>
      <c r="C28" t="inlineStr">
        <is>
          <t>A</t>
        </is>
      </c>
      <c r="D28" s="5" t="inlineStr">
        <is>
          <t>Chaque média temporel et non temporel est-il compatible avec les technologies d’assistance (hors cas particuliers) ?</t>
        </is>
      </c>
      <c r="E28" s="7" t="inlineStr">
        <is>
          <t>NA</t>
        </is>
      </c>
      <c r="F28" s="5" t="inlineStr">
        <is>
          <t>Aucun média.</t>
        </is>
      </c>
      <c r="G28" s="5" t="inlineStr"/>
      <c r="H28" t="inlineStr">
        <is>
          <t>NT</t>
        </is>
      </c>
    </row>
    <row r="29">
      <c r="A29" t="inlineStr">
        <is>
          <t>5.1</t>
        </is>
      </c>
      <c r="B29" t="inlineStr">
        <is>
          <t>Tableaux</t>
        </is>
      </c>
      <c r="C29" t="inlineStr">
        <is>
          <t>A</t>
        </is>
      </c>
      <c r="D29" s="5" t="inlineStr">
        <is>
          <t>Chaque tableau de données complexe a-t-il un résumé ?</t>
        </is>
      </c>
      <c r="E29" s="7" t="inlineStr">
        <is>
          <t>NA</t>
        </is>
      </c>
      <c r="F29" s="5" t="inlineStr">
        <is>
          <t>Aucun tableau de données complexe.</t>
        </is>
      </c>
      <c r="G29" s="5" t="inlineStr"/>
      <c r="H29" t="inlineStr">
        <is>
          <t>NT</t>
        </is>
      </c>
    </row>
    <row r="30">
      <c r="A30" t="inlineStr">
        <is>
          <t>5.2</t>
        </is>
      </c>
      <c r="B30" t="inlineStr">
        <is>
          <t>Tableaux</t>
        </is>
      </c>
      <c r="C30" t="inlineStr">
        <is>
          <t>A</t>
        </is>
      </c>
      <c r="D30" s="5" t="inlineStr">
        <is>
          <t>Pour chaque tableau de données complexe ayant un résumé, celui-ci est-il pertinent ?</t>
        </is>
      </c>
      <c r="E30" s="7" t="inlineStr">
        <is>
          <t>NA</t>
        </is>
      </c>
      <c r="F30" s="5" t="inlineStr">
        <is>
          <t>Aucun tableau de données complexe.</t>
        </is>
      </c>
      <c r="G30" s="5" t="inlineStr"/>
      <c r="H30" t="inlineStr">
        <is>
          <t>NT</t>
        </is>
      </c>
    </row>
    <row r="31">
      <c r="A31" t="inlineStr">
        <is>
          <t>5.3</t>
        </is>
      </c>
      <c r="B31" t="inlineStr">
        <is>
          <t>Tableaux</t>
        </is>
      </c>
      <c r="C31" t="inlineStr">
        <is>
          <t>A</t>
        </is>
      </c>
      <c r="D31" s="5" t="inlineStr">
        <is>
          <t>Pour chaque tableau de mise en forme, le contenu linéarisé reste-t-il compréhensible ?</t>
        </is>
      </c>
      <c r="E31" s="7" t="inlineStr">
        <is>
          <t>NA</t>
        </is>
      </c>
      <c r="F31" s="5" t="inlineStr">
        <is>
          <t>Pas de tableau de mise en forme.</t>
        </is>
      </c>
      <c r="G31" s="5" t="inlineStr"/>
      <c r="H31" t="inlineStr">
        <is>
          <t>NT</t>
        </is>
      </c>
    </row>
    <row r="32">
      <c r="A32" t="inlineStr">
        <is>
          <t>5.4</t>
        </is>
      </c>
      <c r="B32" t="inlineStr">
        <is>
          <t>Tableaux</t>
        </is>
      </c>
      <c r="C32" t="inlineStr">
        <is>
          <t>A</t>
        </is>
      </c>
      <c r="D32" s="5" t="inlineStr">
        <is>
          <t>Pour chaque tableau de données ayant un titre, le titre est-il correctement associé au tableau de données ?</t>
        </is>
      </c>
      <c r="E32" s="7" t="inlineStr">
        <is>
          <t>NA</t>
        </is>
      </c>
      <c r="F32" s="5" t="inlineStr">
        <is>
          <t>Pas de tableau de données titré.</t>
        </is>
      </c>
      <c r="G32" s="5" t="inlineStr"/>
      <c r="H32" t="inlineStr">
        <is>
          <t>NA</t>
        </is>
      </c>
    </row>
    <row r="33">
      <c r="A33" t="inlineStr">
        <is>
          <t>5.5</t>
        </is>
      </c>
      <c r="B33" t="inlineStr">
        <is>
          <t>Tableaux</t>
        </is>
      </c>
      <c r="C33" t="inlineStr">
        <is>
          <t>A</t>
        </is>
      </c>
      <c r="D33" s="5" t="inlineStr">
        <is>
          <t>Pour chaque tableau de données ayant un titre, celui-ci est-il pertinent ?</t>
        </is>
      </c>
      <c r="E33" s="7" t="inlineStr">
        <is>
          <t>NA</t>
        </is>
      </c>
      <c r="F33" s="5" t="inlineStr">
        <is>
          <t>Pas de tableau de données titré.</t>
        </is>
      </c>
      <c r="G33" s="5" t="inlineStr"/>
      <c r="H33" t="inlineStr">
        <is>
          <t>NT</t>
        </is>
      </c>
    </row>
    <row r="34">
      <c r="A34" t="inlineStr">
        <is>
          <t>5.6</t>
        </is>
      </c>
      <c r="B34" t="inlineStr">
        <is>
          <t>Tableaux</t>
        </is>
      </c>
      <c r="C34" t="inlineStr">
        <is>
          <t>A</t>
        </is>
      </c>
      <c r="D34" s="5" t="inlineStr">
        <is>
          <t>Pour chaque tableau de données, chaque en-tête de colonne et chaque en-tête de ligne sont-ils correctement déclarés ?</t>
        </is>
      </c>
      <c r="E34" s="8" t="inlineStr">
        <is>
          <t>NC</t>
        </is>
      </c>
      <c r="F34" s="5" t="inlineStr">
        <is>
          <t>Aide, rubrique Photos : tableau des entrées du menu dont les deux premiers en-têtes de colonne sont vides (&lt;th&gt;&lt;/th&gt;). Ailleurs (Compléter le lot, Journal, Statistiques) : th scope="col" corrects.</t>
        </is>
      </c>
      <c r="G34" s="5" t="inlineStr">
        <is>
          <t>demo-admin-bureau/admin-aide.json (axe empty-table-header) ; docs/aide/01-premiers-pas.md:18</t>
        </is>
      </c>
      <c r="H34" t="inlineStr">
        <is>
          <t>NA</t>
        </is>
      </c>
    </row>
    <row r="35">
      <c r="A35" t="inlineStr">
        <is>
          <t>5.7</t>
        </is>
      </c>
      <c r="B35" t="inlineStr">
        <is>
          <t>Tableaux</t>
        </is>
      </c>
      <c r="C35" t="inlineStr">
        <is>
          <t>A</t>
        </is>
      </c>
      <c r="D35" s="5" t="inlineStr">
        <is>
          <t>Pour chaque tableau de données, la technique appropriée permettant d’associer chaque cellule avec ses en-têtes est-elle utilisée (hors cas particuliers) ?</t>
        </is>
      </c>
      <c r="E35" s="6" t="inlineStr">
        <is>
          <t>C</t>
        </is>
      </c>
      <c r="F35" s="5" t="inlineStr">
        <is>
          <t>Tableaux simples : en-têtes de colonne avec scope="col".</t>
        </is>
      </c>
      <c r="G35" s="5" t="inlineStr">
        <is>
          <t>views/admin/batch.eta:50-53</t>
        </is>
      </c>
      <c r="H35" t="inlineStr">
        <is>
          <t>NT</t>
        </is>
      </c>
    </row>
    <row r="36">
      <c r="A36" t="inlineStr">
        <is>
          <t>5.8</t>
        </is>
      </c>
      <c r="B36" t="inlineStr">
        <is>
          <t>Tableaux</t>
        </is>
      </c>
      <c r="C36" t="inlineStr">
        <is>
          <t>A</t>
        </is>
      </c>
      <c r="D36" s="5" t="inlineStr">
        <is>
          <t>Chaque tableau de mise en forme ne doit pas utiliser d’éléments propres aux  tableaux de données. Cette règle est-elle respectée ?</t>
        </is>
      </c>
      <c r="E36" s="7" t="inlineStr">
        <is>
          <t>NA</t>
        </is>
      </c>
      <c r="F36" s="5" t="inlineStr">
        <is>
          <t>Pas de tableau de mise en forme.</t>
        </is>
      </c>
      <c r="G36" s="5" t="inlineStr"/>
      <c r="H36" t="inlineStr">
        <is>
          <t>NA</t>
        </is>
      </c>
    </row>
    <row r="37">
      <c r="A37" t="inlineStr">
        <is>
          <t>6.1</t>
        </is>
      </c>
      <c r="B37" t="inlineStr">
        <is>
          <t>Liens</t>
        </is>
      </c>
      <c r="C37" t="inlineStr">
        <is>
          <t>A</t>
        </is>
      </c>
      <c r="D37" s="5" t="inlineStr">
        <is>
          <t>Chaque lien est-il explicite (hors cas particuliers) ?</t>
        </is>
      </c>
      <c r="E37" s="6" t="inlineStr">
        <is>
          <t>C</t>
        </is>
      </c>
      <c r="F37" s="5" t="inlineStr">
        <is>
          <t>Liens explicites seuls ou par leur contexte (« Photos › » dans la carte de la série nommée par son h2 ; « Écrire », « sortie » dans leur ligne).</t>
        </is>
      </c>
      <c r="G37" s="5" t="inlineStr">
        <is>
          <t>t9-bureau-noms.txt</t>
        </is>
      </c>
      <c r="H37" t="inlineStr">
        <is>
          <t>NT</t>
        </is>
      </c>
    </row>
    <row r="38">
      <c r="A38" t="inlineStr">
        <is>
          <t>6.2</t>
        </is>
      </c>
      <c r="B38" t="inlineStr">
        <is>
          <t>Liens</t>
        </is>
      </c>
      <c r="C38" t="inlineStr">
        <is>
          <t>A</t>
        </is>
      </c>
      <c r="D38" s="5" t="inlineStr">
        <is>
          <t>Dans chaque page web, chaque lien a-t-il un intitulé ?</t>
        </is>
      </c>
      <c r="E38" s="8" t="inlineStr">
        <is>
          <t>NC</t>
        </is>
      </c>
      <c r="F38" s="5" t="inlineStr">
        <is>
          <t>Liens sans intitulé : vignette de photo (image alt="" seule) dans « Photos de la personne » (fiche Personne, 1 lien) et dans « Photos de la sortie » / « Photos liées » (fiche Rencontre, 3 à 5 liens).</t>
        </is>
      </c>
      <c r="G38" s="5" t="inlineStr">
        <is>
          <t>demo-admin-bureau/admin-personne-1.json, admin-rencontre-1-ines.json (axe link-name) ; views/admin/person.eta:64 ; views/admin/encounter.eta:103,116</t>
        </is>
      </c>
      <c r="H38" t="inlineStr">
        <is>
          <t>C</t>
        </is>
      </c>
    </row>
    <row r="39">
      <c r="A39" t="inlineStr">
        <is>
          <t>7.1</t>
        </is>
      </c>
      <c r="B39" t="inlineStr">
        <is>
          <t>Scripts</t>
        </is>
      </c>
      <c r="C39" t="inlineStr">
        <is>
          <t>A</t>
        </is>
      </c>
      <c r="D39" s="5" t="inlineStr">
        <is>
          <t>Chaque script est-il, si nécessaire, compatible avec les technologies d’assistance ?</t>
        </is>
      </c>
      <c r="E39" s="8" t="inlineStr">
        <is>
          <t>NC</t>
        </is>
      </c>
      <c r="F39" s="5" t="inlineStr">
        <is>
          <t>Palette ⌘K : combobox toujours aria-expanded="true", liste (listbox) sans aucune option quand rien ne correspond (« Aucun résultat » en role="presentation"), aria-activedescendant vide. Les autres composants scriptés (loupe en role="dialog" aria-modal, pastilles aria-pressed, combobox des villes, menus details/summary, poignée des séries avec aide aria-describedby) exposent nom, rôle et état. Restitution réelle par NVDA / VoiceOver non testée.</t>
        </is>
      </c>
      <c r="G39" s="5" t="inlineStr">
        <is>
          <t>t3-dialogues.json ; layout.eta:187-188 ; admin.js:1749 ; axe aria-required-children</t>
        </is>
      </c>
      <c r="H39" t="inlineStr">
        <is>
          <t>NT</t>
        </is>
      </c>
    </row>
    <row r="40">
      <c r="A40" t="inlineStr">
        <is>
          <t>7.2</t>
        </is>
      </c>
      <c r="B40" t="inlineStr">
        <is>
          <t>Scripts</t>
        </is>
      </c>
      <c r="C40" t="inlineStr">
        <is>
          <t>A</t>
        </is>
      </c>
      <c r="D40" s="5" t="inlineStr">
        <is>
          <t>Pour chaque script ayant une alternative, cette alternative est-elle pertinente ?</t>
        </is>
      </c>
      <c r="E40" s="6" t="inlineStr">
        <is>
          <t>C</t>
        </is>
      </c>
      <c r="F40" s="5" t="inlineStr">
        <is>
          <t>Chaque fonction scriptée a son équivalent sans JavaScript (formulaires classiques, boutons data-nojs).</t>
        </is>
      </c>
      <c r="G40" s="5" t="inlineStr">
        <is>
          <t>views/admin/photos.eta, batch.eta</t>
        </is>
      </c>
      <c r="H40" t="inlineStr">
        <is>
          <t>NT</t>
        </is>
      </c>
    </row>
    <row r="41">
      <c r="A41" t="inlineStr">
        <is>
          <t>7.3</t>
        </is>
      </c>
      <c r="B41" t="inlineStr">
        <is>
          <t>Scripts</t>
        </is>
      </c>
      <c r="C41" t="inlineStr">
        <is>
          <t>AA</t>
        </is>
      </c>
      <c r="D41" s="5" t="inlineStr">
        <is>
          <t>Chaque script est-il contrôlable par le clavier et par tout dispositif de pointage (hors cas particuliers) ?</t>
        </is>
      </c>
      <c r="E41" s="8" t="inlineStr">
        <is>
          <t>NC</t>
        </is>
      </c>
      <c r="F41" s="5" t="inlineStr">
        <is>
          <t>Un script retire le focus de l’élément qui l’a (7.3.2) : (1) message « Annuler » qui disparaît après 10 s alors que le focus est sur son bouton → focus sur &lt;body&gt; ; (2) liste de l’import réécrite (innerHTML) à chaque progression : focus sur « Retirer faux.jpg » perdu en moins de 100 ms ; (3) fenêtre « Supprimer la série » fermée par Échap : focus sur &lt;body&gt;. Tout le reste se pilote au clavier (sélection, loupe, poignées, menus).</t>
        </is>
      </c>
      <c r="G41" s="5" t="inlineStr">
        <is>
          <t>t2-phototheque.json (afterExpiry) ; t10-import.json ; t3-dialogues.json (delAfterEsc) ; admin.js:248, 487, 1001-1021</t>
        </is>
      </c>
      <c r="H41" t="inlineStr">
        <is>
          <t>NT</t>
        </is>
      </c>
    </row>
    <row r="42">
      <c r="A42" t="inlineStr">
        <is>
          <t>7.4</t>
        </is>
      </c>
      <c r="B42" t="inlineStr">
        <is>
          <t>Scripts</t>
        </is>
      </c>
      <c r="C42" t="inlineStr">
        <is>
          <t>A</t>
        </is>
      </c>
      <c r="D42" s="5" t="inlineStr">
        <is>
          <t>Pour chaque script qui initie un changement de contexte, l’utilisateur est-il averti ou en a-t-il le contrôle ?</t>
        </is>
      </c>
      <c r="E42" s="8" t="inlineStr">
        <is>
          <t>NC</t>
        </is>
      </c>
      <c r="F42" s="5" t="inlineStr">
        <is>
          <t>Photothèque : les listes « Photographe » et « Série » soumettent le formulaire dès qu’elles changent ; une flèche ↓ au clavier recharge la page (/admin/photos?q=&amp;auteur=sebastien&amp;serie=), sans avertissement ni bouton (le bouton « Filtrer » n’existe que sans JavaScript).</t>
        </is>
      </c>
      <c r="G42" s="5" t="inlineStr">
        <is>
          <t>t2-phototheque.json (filterSelect) ; admin.js:318</t>
        </is>
      </c>
      <c r="H42" t="inlineStr">
        <is>
          <t>NT</t>
        </is>
      </c>
    </row>
    <row r="43">
      <c r="A43" t="inlineStr">
        <is>
          <t>7.5</t>
        </is>
      </c>
      <c r="B43" t="inlineStr">
        <is>
          <t>Scripts</t>
        </is>
      </c>
      <c r="C43" t="inlineStr">
        <is>
          <t>AA</t>
        </is>
      </c>
      <c r="D43" s="5" t="inlineStr">
        <is>
          <t>Dans chaque page web, les messages de statut sont-ils correctement restitués par les technologies d’assistance ?</t>
        </is>
      </c>
      <c r="E43" s="8" t="inlineStr">
        <is>
          <t>NC</t>
        </is>
      </c>
      <c r="F43" s="5" t="inlineStr">
        <is>
          <t>7.5.1 : le résultat « Aucun résultat » de la palette n’est dans aucune région live. 7.5.2 : les messages d’erreur (« Date non comprise… », « Cochez au moins une photo. », « L’ordre n’a pas pu être enregistré… ») passent par la même région role="status" que les confirmations, au lieu de role="alert". Confirmations (toast, compteur de sélection, état de l’import) en role="status" : conformes ; région du toast masquée (hidden) entre deux messages : annonce à confirmer au lecteur d’écran.</t>
        </is>
      </c>
      <c r="G43" s="5" t="inlineStr">
        <is>
          <t>t3-dialogues.json ; t2-phototheque.json (inspError.toastRole) ; admin.js:228-248</t>
        </is>
      </c>
      <c r="H43" t="inlineStr">
        <is>
          <t>NT</t>
        </is>
      </c>
    </row>
    <row r="44">
      <c r="A44" t="inlineStr">
        <is>
          <t>8.1</t>
        </is>
      </c>
      <c r="B44" t="inlineStr">
        <is>
          <t>Éléments obligatoires</t>
        </is>
      </c>
      <c r="C44" t="inlineStr">
        <is>
          <t>A</t>
        </is>
      </c>
      <c r="D44" s="5" t="inlineStr">
        <is>
          <t>Chaque page web est-elle définie par un type de document ?</t>
        </is>
      </c>
      <c r="E44" s="6" t="inlineStr">
        <is>
          <t>C</t>
        </is>
      </c>
      <c r="F44" s="5" t="inlineStr">
        <is>
          <t>Doctype présent (sonde).</t>
        </is>
      </c>
      <c r="G44" s="5" t="inlineStr">
        <is>
          <t>rgaa-admin.md</t>
        </is>
      </c>
      <c r="H44" t="inlineStr">
        <is>
          <t>C</t>
        </is>
      </c>
    </row>
    <row r="45">
      <c r="A45" t="inlineStr">
        <is>
          <t>8.2</t>
        </is>
      </c>
      <c r="B45" t="inlineStr">
        <is>
          <t>Éléments obligatoires</t>
        </is>
      </c>
      <c r="C45" t="inlineStr">
        <is>
          <t>A</t>
        </is>
      </c>
      <c r="D45" s="5" t="inlineStr">
        <is>
          <t>Pour chaque page web, le code source généré est-il valide selon le type de document spécifié ?</t>
        </is>
      </c>
      <c r="E45" s="9" t="inlineStr">
        <is>
          <t>NT</t>
        </is>
      </c>
      <c r="F45" s="5" t="inlineStr">
        <is>
          <t>Pas d’id en double sur 29 pages ; validation W3C complète non faite.</t>
        </is>
      </c>
      <c r="G45" s="5" t="inlineStr">
        <is>
          <t>t13-divers.json</t>
        </is>
      </c>
      <c r="H45" t="inlineStr">
        <is>
          <t>NT</t>
        </is>
      </c>
    </row>
    <row r="46">
      <c r="A46" t="inlineStr">
        <is>
          <t>8.3</t>
        </is>
      </c>
      <c r="B46" t="inlineStr">
        <is>
          <t>Éléments obligatoires</t>
        </is>
      </c>
      <c r="C46" t="inlineStr">
        <is>
          <t>A</t>
        </is>
      </c>
      <c r="D46" s="5" t="inlineStr">
        <is>
          <t>Dans chaque page web, la langue par défaut est-elle présente ?</t>
        </is>
      </c>
      <c r="E46" s="6" t="inlineStr">
        <is>
          <t>C</t>
        </is>
      </c>
      <c r="F46" s="5" t="inlineStr">
        <is>
          <t>lang présent (sonde).</t>
        </is>
      </c>
      <c r="G46" s="5" t="inlineStr">
        <is>
          <t>rgaa-admin.md</t>
        </is>
      </c>
      <c r="H46" t="inlineStr">
        <is>
          <t>C</t>
        </is>
      </c>
    </row>
    <row r="47">
      <c r="A47" t="inlineStr">
        <is>
          <t>8.4</t>
        </is>
      </c>
      <c r="B47" t="inlineStr">
        <is>
          <t>Éléments obligatoires</t>
        </is>
      </c>
      <c r="C47" t="inlineStr">
        <is>
          <t>A</t>
        </is>
      </c>
      <c r="D47" s="5" t="inlineStr">
        <is>
          <t>Pour chaque page web ayant une langue par défaut, le code de langue est-il pertinent ?</t>
        </is>
      </c>
      <c r="E47" s="6" t="inlineStr">
        <is>
          <t>C</t>
        </is>
      </c>
      <c r="F47" s="5" t="inlineStr">
        <is>
          <t>Codes de langue valides (sonde).</t>
        </is>
      </c>
      <c r="G47" s="5" t="inlineStr">
        <is>
          <t>rgaa-admin.md</t>
        </is>
      </c>
      <c r="H47" t="inlineStr">
        <is>
          <t>C</t>
        </is>
      </c>
    </row>
    <row r="48">
      <c r="A48" t="inlineStr">
        <is>
          <t>8.5</t>
        </is>
      </c>
      <c r="B48" t="inlineStr">
        <is>
          <t>Éléments obligatoires</t>
        </is>
      </c>
      <c r="C48" t="inlineStr">
        <is>
          <t>A</t>
        </is>
      </c>
      <c r="D48" s="5" t="inlineStr">
        <is>
          <t>Chaque page web a-t-elle un titre de page ?</t>
        </is>
      </c>
      <c r="E48" s="6" t="inlineStr">
        <is>
          <t>C</t>
        </is>
      </c>
      <c r="F48" s="5" t="inlineStr">
        <is>
          <t>Titre présent (sonde).</t>
        </is>
      </c>
      <c r="G48" s="5" t="inlineStr">
        <is>
          <t>rgaa-admin.md</t>
        </is>
      </c>
      <c r="H48" t="inlineStr">
        <is>
          <t>C</t>
        </is>
      </c>
    </row>
    <row r="49">
      <c r="A49" t="inlineStr">
        <is>
          <t>8.6</t>
        </is>
      </c>
      <c r="B49" t="inlineStr">
        <is>
          <t>Éléments obligatoires</t>
        </is>
      </c>
      <c r="C49" t="inlineStr">
        <is>
          <t>A</t>
        </is>
      </c>
      <c r="D49" s="5" t="inlineStr">
        <is>
          <t>Pour chaque page web ayant un titre de page, ce titre est-il pertinent ?</t>
        </is>
      </c>
      <c r="E49" s="6" t="inlineStr">
        <is>
          <t>C</t>
        </is>
      </c>
      <c r="F49" s="5" t="inlineStr">
        <is>
          <t>Titres pertinents et uniques sur 29 pages (« Inês, rua dos Remédios · Administration · Nicephos », « Sortie du samedi 10 octobre 2026 · … »).</t>
        </is>
      </c>
      <c r="G49" s="5" t="inlineStr">
        <is>
          <t>t13-divers.json</t>
        </is>
      </c>
      <c r="H49" t="inlineStr">
        <is>
          <t>NT</t>
        </is>
      </c>
    </row>
    <row r="50">
      <c r="A50" t="inlineStr">
        <is>
          <t>8.7</t>
        </is>
      </c>
      <c r="B50" t="inlineStr">
        <is>
          <t>Éléments obligatoires</t>
        </is>
      </c>
      <c r="C50" t="inlineStr">
        <is>
          <t>AA</t>
        </is>
      </c>
      <c r="D50" s="5" t="inlineStr">
        <is>
          <t>Dans chaque page web, chaque changement de langue est-il indiqué dans le code source (hors cas particuliers) ?</t>
        </is>
      </c>
      <c r="E50" s="8" t="inlineStr">
        <is>
          <t>NC</t>
        </is>
      </c>
      <c r="F50" s="5" t="inlineStr">
        <is>
          <t>App de terrain : quand la personne choisit l’anglais ou l’allemand, les libellés visibles (« I agree, for: », « First and last name », « Sign here with your finger »…) restent dans une page lang="fr" sans attribut lang (12 libellés relevés) ; seul le paragraphe d’accord a son lang. Légendes « Langue », « Décision », « Âge » codées en français.</t>
        </is>
      </c>
      <c r="G50" s="5" t="inlineStr">
        <is>
          <t>t8-noms.txt (appLang) ; views/admin/app.eta:53-86</t>
        </is>
      </c>
      <c r="H50" t="inlineStr">
        <is>
          <t>NT</t>
        </is>
      </c>
    </row>
    <row r="51">
      <c r="A51" t="inlineStr">
        <is>
          <t>8.8</t>
        </is>
      </c>
      <c r="B51" t="inlineStr">
        <is>
          <t>Éléments obligatoires</t>
        </is>
      </c>
      <c r="C51" t="inlineStr">
        <is>
          <t>AA</t>
        </is>
      </c>
      <c r="D51" s="5" t="inlineStr">
        <is>
          <t>Dans chaque page web, le code de langue de chaque changement de langue est-il valide et pertinent ?</t>
        </is>
      </c>
      <c r="E51" s="6" t="inlineStr">
        <is>
          <t>C</t>
        </is>
      </c>
      <c r="F51" s="5" t="inlineStr">
        <is>
          <t>Codes fr, en, de valides.</t>
        </is>
      </c>
      <c r="G51" s="5" t="inlineStr"/>
      <c r="H51" t="inlineStr">
        <is>
          <t>NT</t>
        </is>
      </c>
    </row>
    <row r="52">
      <c r="A52" t="inlineStr">
        <is>
          <t>8.9</t>
        </is>
      </c>
      <c r="B52" t="inlineStr">
        <is>
          <t>Éléments obligatoires</t>
        </is>
      </c>
      <c r="C52" t="inlineStr">
        <is>
          <t>A</t>
        </is>
      </c>
      <c r="D52" s="5" t="inlineStr">
        <is>
          <t>Dans chaque page web, les balises ne doivent pas être utilisées uniquement à des fins de présentation. Cette règle est-elle respectée ?</t>
        </is>
      </c>
      <c r="E52" s="8" t="inlineStr">
        <is>
          <t>NC</t>
        </is>
      </c>
      <c r="F52" s="5" t="inlineStr">
        <is>
          <t>Import : « choisissez des fichiers » en &lt;u&gt; pour un simple soulignement.</t>
        </is>
      </c>
      <c r="G52" s="5" t="inlineStr">
        <is>
          <t>views/admin/_import.eta:30 ; sonde presentation_tags</t>
        </is>
      </c>
      <c r="H52" t="inlineStr">
        <is>
          <t>NC</t>
        </is>
      </c>
    </row>
    <row r="53">
      <c r="A53" t="inlineStr">
        <is>
          <t>8.10</t>
        </is>
      </c>
      <c r="B53" t="inlineStr">
        <is>
          <t>Éléments obligatoires</t>
        </is>
      </c>
      <c r="C53" t="inlineStr">
        <is>
          <t>A</t>
        </is>
      </c>
      <c r="D53" s="5" t="inlineStr">
        <is>
          <t>Dans chaque page web, les changements du sens de lecture sont-ils signalés ?</t>
        </is>
      </c>
      <c r="E53" s="7" t="inlineStr">
        <is>
          <t>NA</t>
        </is>
      </c>
      <c r="F53" s="5" t="inlineStr">
        <is>
          <t>Pas de changement de sens de lecture.</t>
        </is>
      </c>
      <c r="G53" s="5" t="inlineStr"/>
      <c r="H53" t="inlineStr">
        <is>
          <t>NT</t>
        </is>
      </c>
    </row>
    <row r="54">
      <c r="A54" t="inlineStr">
        <is>
          <t>9.1</t>
        </is>
      </c>
      <c r="B54" t="inlineStr">
        <is>
          <t>Structuration de l’information</t>
        </is>
      </c>
      <c r="C54" t="inlineStr">
        <is>
          <t>AA</t>
        </is>
      </c>
      <c r="D54" s="5" t="inlineStr">
        <is>
          <t>Dans chaque page web, l’information est-elle structurée par l’utilisation appropriée de titres ?</t>
        </is>
      </c>
      <c r="E54" s="8" t="inlineStr">
        <is>
          <t>NC</t>
        </is>
      </c>
      <c r="F54" s="5" t="inlineStr">
        <is>
          <t>App de terrain : /admin/rencontre sans h1 (titre « Nouvelle rencontre » en &lt;strong&gt;), /admin/rencontre/accueil sans h1, /admin/rencontre/qr sans aucun titre ; planche de cartes à imprimer : h2 avant h1 et cinq h1 « Merci ! ». Inspecteur de la photothèque : son titre h2 est le statut (« Publiée ») et non la photo.</t>
        </is>
      </c>
      <c r="G54" s="5" t="inlineStr">
        <is>
          <t>t8-noms.txt ; t9-bureau-noms.txt ; axe page-has-heading-one</t>
        </is>
      </c>
      <c r="H54" t="inlineStr">
        <is>
          <t>NC</t>
        </is>
      </c>
    </row>
    <row r="55">
      <c r="A55" t="inlineStr">
        <is>
          <t>9.2</t>
        </is>
      </c>
      <c r="B55" t="inlineStr">
        <is>
          <t>Structuration de l’information</t>
        </is>
      </c>
      <c r="C55" t="inlineStr">
        <is>
          <t>A</t>
        </is>
      </c>
      <c r="D55" s="5" t="inlineStr">
        <is>
          <t>Dans chaque page web, la structure du document est-elle cohérente (hors cas particuliers) ?</t>
        </is>
      </c>
      <c r="E55" s="8" t="inlineStr">
        <is>
          <t>NC</t>
        </is>
      </c>
      <c r="F55" s="5" t="inlineStr">
        <is>
          <t>Pas de &lt;main&gt; sur /admin/rencontre ni sur la planche de cartes ; le reste de l’admin : aside + nav + main.</t>
        </is>
      </c>
      <c r="G55" s="5" t="inlineStr">
        <is>
          <t>t8-noms.txt ; t9-bureau-noms.txt ; axe landmark-one-main</t>
        </is>
      </c>
      <c r="H55" t="inlineStr">
        <is>
          <t>NT</t>
        </is>
      </c>
    </row>
    <row r="56">
      <c r="A56" t="inlineStr">
        <is>
          <t>9.3</t>
        </is>
      </c>
      <c r="B56" t="inlineStr">
        <is>
          <t>Structuration de l’information</t>
        </is>
      </c>
      <c r="C56" t="inlineStr">
        <is>
          <t>A</t>
        </is>
      </c>
      <c r="D56" s="5" t="inlineStr">
        <is>
          <t>Dans chaque page web, chaque liste est-elle correctement structurée ?</t>
        </is>
      </c>
      <c r="E56" s="6" t="inlineStr">
        <is>
          <t>C</t>
        </is>
      </c>
      <c r="F56" s="5" t="inlineStr">
        <is>
          <t>Listes balisées (ul/ol) pour les photos, séries, fichiers, étapes. Menus en &lt;nav&gt; sans liste : admis, structurer en liste reste une bonne pratique.</t>
        </is>
      </c>
      <c r="G56" s="5" t="inlineStr"/>
      <c r="H56" t="inlineStr">
        <is>
          <t>NT</t>
        </is>
      </c>
    </row>
    <row r="57">
      <c r="A57" t="inlineStr">
        <is>
          <t>9.4</t>
        </is>
      </c>
      <c r="B57" t="inlineStr">
        <is>
          <t>Structuration de l’information</t>
        </is>
      </c>
      <c r="C57" t="inlineStr">
        <is>
          <t>A</t>
        </is>
      </c>
      <c r="D57" s="5" t="inlineStr">
        <is>
          <t>Dans chaque page web, chaque citation est-elle correctement indiquée ?</t>
        </is>
      </c>
      <c r="E57" s="6" t="inlineStr">
        <is>
          <t>C</t>
        </is>
      </c>
      <c r="F57" s="5" t="inlineStr">
        <is>
          <t>Citation du message du photographe en &lt;q&gt; (À valider).</t>
        </is>
      </c>
      <c r="G57" s="5" t="inlineStr">
        <is>
          <t>sonde quotes</t>
        </is>
      </c>
      <c r="H57" t="inlineStr">
        <is>
          <t>NT</t>
        </is>
      </c>
    </row>
    <row r="58">
      <c r="A58" t="inlineStr">
        <is>
          <t>10.1</t>
        </is>
      </c>
      <c r="B58" t="inlineStr">
        <is>
          <t>Présentation de l’information</t>
        </is>
      </c>
      <c r="C58" t="inlineStr">
        <is>
          <t>A</t>
        </is>
      </c>
      <c r="D58" s="5" t="inlineStr">
        <is>
          <t>Dans le site web, des feuilles de styles sont-elles utilisées pour contrôler la présentation de l’information ?</t>
        </is>
      </c>
      <c r="E58" s="8" t="inlineStr">
        <is>
          <t>NC</t>
        </is>
      </c>
      <c r="F58" s="5" t="inlineStr">
        <is>
          <t>Même cas que 8.9 (&lt;u&gt;).</t>
        </is>
      </c>
      <c r="G58" s="5" t="inlineStr">
        <is>
          <t>views/admin/_import.eta:30</t>
        </is>
      </c>
      <c r="H58" t="inlineStr">
        <is>
          <t>NC</t>
        </is>
      </c>
    </row>
    <row r="59">
      <c r="A59" t="inlineStr">
        <is>
          <t>10.2</t>
        </is>
      </c>
      <c r="B59" t="inlineStr">
        <is>
          <t>Présentation de l’information</t>
        </is>
      </c>
      <c r="C59" t="inlineStr">
        <is>
          <t>A</t>
        </is>
      </c>
      <c r="D59" s="5" t="inlineStr">
        <is>
          <t>Dans chaque page web, le contenu visible porteur d’information reste-t-il présent lorsque les feuilles de styles sont désactivées ?</t>
        </is>
      </c>
      <c r="E59" s="6" t="inlineStr">
        <is>
          <t>C</t>
        </is>
      </c>
      <c r="F59" s="5" t="inlineStr">
        <is>
          <t>Seul contenu généré par CSS : les libellés « Titre / Série / Lieu / Date » des cartes de « Compléter le lot » sur téléphone, doublés par les en-têtes du tableau et les aria-label.</t>
        </is>
      </c>
      <c r="G59" s="5" t="inlineStr">
        <is>
          <t>t15-css.json</t>
        </is>
      </c>
      <c r="H59" t="inlineStr">
        <is>
          <t>NT</t>
        </is>
      </c>
    </row>
    <row r="60">
      <c r="A60" t="inlineStr">
        <is>
          <t>10.3</t>
        </is>
      </c>
      <c r="B60" t="inlineStr">
        <is>
          <t>Présentation de l’information</t>
        </is>
      </c>
      <c r="C60" t="inlineStr">
        <is>
          <t>A</t>
        </is>
      </c>
      <c r="D60" s="5" t="inlineStr">
        <is>
          <t>Dans chaque page web, l’information reste-t-elle compréhensible lorsque les feuilles de styles sont désactivées ?</t>
        </is>
      </c>
      <c r="E60" s="6" t="inlineStr">
        <is>
          <t>C</t>
        </is>
      </c>
      <c r="F60" s="5" t="inlineStr">
        <is>
          <t>Ordre du code logique (lien d’évitement, menu, contenu, inspecteur, barre d’onglets, message).</t>
        </is>
      </c>
      <c r="G60" s="5" t="inlineStr">
        <is>
          <t>t1-global.json</t>
        </is>
      </c>
      <c r="H60" t="inlineStr">
        <is>
          <t>NT</t>
        </is>
      </c>
    </row>
    <row r="61">
      <c r="A61" t="inlineStr">
        <is>
          <t>10.4</t>
        </is>
      </c>
      <c r="B61" t="inlineStr">
        <is>
          <t>Présentation de l’information</t>
        </is>
      </c>
      <c r="C61" t="inlineStr">
        <is>
          <t>AA</t>
        </is>
      </c>
      <c r="D61" s="5" t="inlineStr">
        <is>
          <t>Dans chaque page web, le texte reste-t-il lisible lorsque la taille des caractères est augmentée jusqu’à 200 %, au moins (hors cas particuliers) ?</t>
        </is>
      </c>
      <c r="E61" s="6" t="inlineStr">
        <is>
          <t>C</t>
        </is>
      </c>
      <c r="F61" s="5" t="inlineStr">
        <is>
          <t>Agrandi à l’équivalent de 400 % (320 px), le contenu reste lisible ; voir 10.11 pour deux débordements de 7 px.</t>
        </is>
      </c>
      <c r="G61" s="5" t="inlineStr">
        <is>
          <t>t6-reflow.json</t>
        </is>
      </c>
      <c r="H61" t="inlineStr">
        <is>
          <t>NT</t>
        </is>
      </c>
    </row>
    <row r="62">
      <c r="A62" t="inlineStr">
        <is>
          <t>10.5</t>
        </is>
      </c>
      <c r="B62" t="inlineStr">
        <is>
          <t>Présentation de l’information</t>
        </is>
      </c>
      <c r="C62" t="inlineStr">
        <is>
          <t>AA</t>
        </is>
      </c>
      <c r="D62" s="5" t="inlineStr">
        <is>
          <t>Dans chaque page web, les déclarations CSS de couleurs de fond d’élément et de police sont-elles correctement utilisées ?</t>
        </is>
      </c>
      <c r="E62" s="9" t="inlineStr">
        <is>
          <t>NT</t>
        </is>
      </c>
      <c r="F62" s="5" t="inlineStr">
        <is>
          <t>Couples couleur de texte / couleur de fond non vérifiés déclaration par déclaration.</t>
        </is>
      </c>
      <c r="G62" s="5" t="inlineStr"/>
      <c r="H62" t="inlineStr">
        <is>
          <t>NT</t>
        </is>
      </c>
    </row>
    <row r="63">
      <c r="A63" t="inlineStr">
        <is>
          <t>10.6</t>
        </is>
      </c>
      <c r="B63" t="inlineStr">
        <is>
          <t>Présentation de l’information</t>
        </is>
      </c>
      <c r="C63" t="inlineStr">
        <is>
          <t>A</t>
        </is>
      </c>
      <c r="D63" s="5" t="inlineStr">
        <is>
          <t>Dans chaque page web, chaque lien dont la nature n’est pas évidente est-il visible par rapport au texte environnant ?</t>
        </is>
      </c>
      <c r="E63" s="8" t="inlineStr">
        <is>
          <t>NC</t>
        </is>
      </c>
      <c r="F63" s="5" t="inlineStr">
        <is>
          <t>Liens dans un texte de même couleur que lui et non soulignés (règle a { color: inherit; text-decoration: none }) : « voir sur le site » et « GeoNames » (fiche photo), « Site public » (Apparence), « Apparence » ×2 (Filigrane &amp; EXIF), « réglages » (Filigrane de la fiche).</t>
        </is>
      </c>
      <c r="G63" s="5" t="inlineStr">
        <is>
          <t>t13-divers.json ; captures/t14-lien-apparence.png ; admin.css:46</t>
        </is>
      </c>
      <c r="H63" t="inlineStr">
        <is>
          <t>NT</t>
        </is>
      </c>
    </row>
    <row r="64">
      <c r="A64" t="inlineStr">
        <is>
          <t>10.7</t>
        </is>
      </c>
      <c r="B64" t="inlineStr">
        <is>
          <t>Présentation de l’information</t>
        </is>
      </c>
      <c r="C64" t="inlineStr">
        <is>
          <t>AA</t>
        </is>
      </c>
      <c r="D64" s="5" t="inlineStr">
        <is>
          <t>Dans chaque page web, pour chaque élément recevant le focus, la prise de focus est-elle visible ?</t>
        </is>
      </c>
      <c r="E64" s="8" t="inlineStr">
        <is>
          <t>NC</t>
        </is>
      </c>
      <c r="F64" s="5" t="inlineStr">
        <is>
          <t>Méthodologie 10.7.1 : indicateur présent et contrasté à 3:1. (1) Mode clair : anneau de focus des champs (contour natif supprimé, anneau #F0A94C) à 1,73:1 sur le fond du champ et 2,0:1 autour ; boutons et liens conformes (contour 2 px #9A5B0C). (2) Au téléphone, l’élément qui a le focus est entièrement caché : par la barre d’onglets fixe (7 arrêts sur 60 sur la fiche photo, 10 sur 45 sur Séries, 2 sur 45 sur Aujourd’hui), par la barre « Enregistrer » de l’app de terrain (5 sur 30), par la feuille de l’inspecteur (12 vignettes sur 12 après une sélection), par le menu ouvert (la tabulation en sort sans le fermer).</t>
        </is>
      </c>
      <c r="G64" s="5" t="inlineStr">
        <is>
          <t>t12-focus-contraste.json ; admin.css:139 ; t4-mobile.json ; t11-app.json ; captures/t4-mobile-feuille-focus.png</t>
        </is>
      </c>
      <c r="H64" t="inlineStr">
        <is>
          <t>NT</t>
        </is>
      </c>
    </row>
    <row r="65">
      <c r="A65" t="inlineStr">
        <is>
          <t>10.8</t>
        </is>
      </c>
      <c r="B65" t="inlineStr">
        <is>
          <t>Présentation de l’information</t>
        </is>
      </c>
      <c r="C65" t="inlineStr">
        <is>
          <t>A</t>
        </is>
      </c>
      <c r="D65" s="5" t="inlineStr">
        <is>
          <t>Pour chaque page web, les contenus cachés ont-ils vocation à être ignorés par les technologies d’assistance ?</t>
        </is>
      </c>
      <c r="E65" s="6" t="inlineStr">
        <is>
          <t>C</t>
        </is>
      </c>
      <c r="F65" s="5" t="inlineStr">
        <is>
          <t>Contenus masqués réellement masqués (hidden, visibility:hidden du menu fermé).</t>
        </is>
      </c>
      <c r="G65" s="5" t="inlineStr"/>
      <c r="H65" t="inlineStr">
        <is>
          <t>NT</t>
        </is>
      </c>
    </row>
    <row r="66">
      <c r="A66" t="inlineStr">
        <is>
          <t>10.9</t>
        </is>
      </c>
      <c r="B66" t="inlineStr">
        <is>
          <t>Présentation de l’information</t>
        </is>
      </c>
      <c r="C66" t="inlineStr">
        <is>
          <t>A</t>
        </is>
      </c>
      <c r="D66" s="5" t="inlineStr">
        <is>
          <t>Dans chaque page web, l’information ne doit pas être donnée uniquement par la forme, taille ou position. Cette règle est-elle respectée ?</t>
        </is>
      </c>
      <c r="E66" s="6" t="inlineStr">
        <is>
          <t>C</t>
        </is>
      </c>
      <c r="F66" s="5" t="inlineStr">
        <is>
          <t>Pas d’information donnée par la seule forme ou position (la consigne « panneau de droite » ne s’affiche que sans JavaScript, où le panneau est titré).</t>
        </is>
      </c>
      <c r="G66" s="5" t="inlineStr"/>
      <c r="H66" t="inlineStr">
        <is>
          <t>NT</t>
        </is>
      </c>
    </row>
    <row r="67">
      <c r="A67" t="inlineStr">
        <is>
          <t>10.10</t>
        </is>
      </c>
      <c r="B67" t="inlineStr">
        <is>
          <t>Présentation de l’information</t>
        </is>
      </c>
      <c r="C67" t="inlineStr">
        <is>
          <t>A</t>
        </is>
      </c>
      <c r="D67" s="5" t="inlineStr">
        <is>
          <t>Dans chaque page web, l’information ne doit pas être donnée par la forme, taille ou position uniquement. Cette règle est-elle implémentée de façon pertinente ?</t>
        </is>
      </c>
      <c r="E67" s="6" t="inlineStr">
        <is>
          <t>C</t>
        </is>
      </c>
      <c r="F67" s="5" t="inlineStr">
        <is>
          <t>Idem 10.9.</t>
        </is>
      </c>
      <c r="G67" s="5" t="inlineStr"/>
      <c r="H67" t="inlineStr">
        <is>
          <t>NT</t>
        </is>
      </c>
    </row>
    <row r="68">
      <c r="A68" t="inlineStr">
        <is>
          <t>10.11</t>
        </is>
      </c>
      <c r="B68" t="inlineStr">
        <is>
          <t>Présentation de l’information</t>
        </is>
      </c>
      <c r="C68" t="inlineStr">
        <is>
          <t>AA</t>
        </is>
      </c>
      <c r="D68" s="5" t="inlineStr">
        <is>
          <t>Pour chaque page web, les contenus peuvent-ils être présentés sans perte d’information ou de fonctionnalité et sans avoir recours soit à un défilement vertical pour une fenêtre ayant une hauteur de 256 px, soit à un défilement horizontal pour une fenêtre ayant une largeur de 320 px (hors cas particuliers) ?</t>
        </is>
      </c>
      <c r="E68" s="8" t="inlineStr">
        <is>
          <t>NC</t>
        </is>
      </c>
      <c r="F68" s="5" t="inlineStr">
        <is>
          <t>À 320 px, deux débordements horizontaux de 7 px : bouton « Série, lieu ou date pour toutes les cochées… » de Compléter le lot (texte coupé), formulaire de l’app de terrain. 19 autres pages sans défilement horizontal (tableaux du Journal et de l’Aide défilent dans leur conteneur : admis).</t>
        </is>
      </c>
      <c r="G68" s="5" t="inlineStr">
        <is>
          <t>t6-reflow.json ; captures/t6-320-admin-photos-lot-ids-24-25-26.png, t6-320-admin-rencontre.png</t>
        </is>
      </c>
      <c r="H68" t="inlineStr">
        <is>
          <t>NT</t>
        </is>
      </c>
    </row>
    <row r="69">
      <c r="A69" t="inlineStr">
        <is>
          <t>10.12</t>
        </is>
      </c>
      <c r="B69" t="inlineStr">
        <is>
          <t>Présentation de l’information</t>
        </is>
      </c>
      <c r="C69" t="inlineStr">
        <is>
          <t>AA</t>
        </is>
      </c>
      <c r="D69" s="5" t="inlineStr">
        <is>
          <t>Dans chaque page web, les propriétés d’espacement du texte peuvent-elles être redéfinies par l’utilisateur sans perte de contenu ou de fonctionnalité (hors cas particuliers) ?</t>
        </is>
      </c>
      <c r="E69" s="6" t="inlineStr">
        <is>
          <t>C</t>
        </is>
      </c>
      <c r="F69" s="5" t="inlineStr">
        <is>
          <t>Interlignage 1,5, paragraphes 2 em, lettres 0,12 em, mots 0,16 em : aucun texte nouvellement tronqué sur 21 pages.</t>
        </is>
      </c>
      <c r="G69" s="5" t="inlineStr">
        <is>
          <t>t6-reflow.json (spacing)</t>
        </is>
      </c>
      <c r="H69" t="inlineStr">
        <is>
          <t>NT</t>
        </is>
      </c>
    </row>
    <row r="70">
      <c r="A70" t="inlineStr">
        <is>
          <t>10.13</t>
        </is>
      </c>
      <c r="B70" t="inlineStr">
        <is>
          <t>Présentation de l’information</t>
        </is>
      </c>
      <c r="C70" t="inlineStr">
        <is>
          <t>AA</t>
        </is>
      </c>
      <c r="D70" s="5" t="inlineStr">
        <is>
          <t>Dans chaque page web, les contenus additionnels apparaissant à la prise de focus ou au survol d’un composant d’interface sont-ils contrôlables par l’utilisateur (hors cas particuliers) ?</t>
        </is>
      </c>
      <c r="E70" s="6" t="inlineStr">
        <is>
          <t>C</t>
        </is>
      </c>
      <c r="F70" s="5" t="inlineStr">
        <is>
          <t>Légendes des vignettes visibles au survol et au focus, dans la vignette, sans masquer d’autre texte ni de commande ; infobulles natives (title) hors champ.</t>
        </is>
      </c>
      <c r="G70" s="5" t="inlineStr"/>
      <c r="H70" t="inlineStr">
        <is>
          <t>NT</t>
        </is>
      </c>
    </row>
    <row r="71">
      <c r="A71" t="inlineStr">
        <is>
          <t>10.14</t>
        </is>
      </c>
      <c r="B71" t="inlineStr">
        <is>
          <t>Présentation de l’information</t>
        </is>
      </c>
      <c r="C71" t="inlineStr">
        <is>
          <t>A</t>
        </is>
      </c>
      <c r="D71" s="5" t="inlineStr">
        <is>
          <t>Dans chaque page web, les contenus additionnels apparaissant via les styles CSS uniquement peuvent-ils être rendus visibles au clavier et par tout dispositif de pointage ?</t>
        </is>
      </c>
      <c r="E71" s="6" t="inlineStr">
        <is>
          <t>C</t>
        </is>
      </c>
      <c r="F71" s="5" t="inlineStr">
        <is>
          <t>Légendes des vignettes aussi visibles au focus (:focus-within).</t>
        </is>
      </c>
      <c r="G71" s="5" t="inlineStr">
        <is>
          <t>admin.css:217-219</t>
        </is>
      </c>
      <c r="H71" t="inlineStr">
        <is>
          <t>NT</t>
        </is>
      </c>
    </row>
    <row r="72">
      <c r="A72" t="inlineStr">
        <is>
          <t>11.1</t>
        </is>
      </c>
      <c r="B72" t="inlineStr">
        <is>
          <t>Formulaires</t>
        </is>
      </c>
      <c r="C72" t="inlineStr">
        <is>
          <t>AA</t>
        </is>
      </c>
      <c r="D72" s="5" t="inlineStr">
        <is>
          <t>Chaque champ de formulaire a-t-il une étiquette ?</t>
        </is>
      </c>
      <c r="E72" s="6" t="inlineStr">
        <is>
          <t>C</t>
        </is>
      </c>
      <c r="F72" s="5" t="inlineStr">
        <is>
          <t>Chaque champ a une étiquette (label ou aria-label doublé d’un texte visible adjacent).</t>
        </is>
      </c>
      <c r="G72" s="5" t="inlineStr">
        <is>
          <t>sonde ; t9-bureau-noms.txt</t>
        </is>
      </c>
      <c r="H72" t="inlineStr">
        <is>
          <t>NT</t>
        </is>
      </c>
    </row>
    <row r="73">
      <c r="A73" t="inlineStr">
        <is>
          <t>11.2</t>
        </is>
      </c>
      <c r="B73" t="inlineStr">
        <is>
          <t>Formulaires</t>
        </is>
      </c>
      <c r="C73" t="inlineStr">
        <is>
          <t>AA</t>
        </is>
      </c>
      <c r="D73" s="5" t="inlineStr">
        <is>
          <t>Chaque étiquette associée à un champ de formulaire est-elle pertinente (hors cas particuliers) ?</t>
        </is>
      </c>
      <c r="E73" s="8" t="inlineStr">
        <is>
          <t>NC</t>
        </is>
      </c>
      <c r="F73" s="5" t="inlineStr">
        <is>
          <t>Compléter le lot : « Titre de la photo 24 », « Série de la photo 24 », « Lieu de la photo 24 » : le numéro interne n’apparaît nulle part à l’écran et n’identifie pas la photo.</t>
        </is>
      </c>
      <c r="G73" s="5" t="inlineStr">
        <is>
          <t>t3-dialogues.json (batch.fieldNames) ; views/admin/batch.eta:60-68</t>
        </is>
      </c>
      <c r="H73" t="inlineStr">
        <is>
          <t>NT</t>
        </is>
      </c>
    </row>
    <row r="74">
      <c r="A74" t="inlineStr">
        <is>
          <t>11.3</t>
        </is>
      </c>
      <c r="B74" t="inlineStr">
        <is>
          <t>Formulaires</t>
        </is>
      </c>
      <c r="C74" t="inlineStr">
        <is>
          <t>AA</t>
        </is>
      </c>
      <c r="D74" s="5" t="inlineStr">
        <is>
          <t>Dans chaque formulaire, chaque étiquette associée à un champ de formulaire ayant la même fonction et répétée plusieurs fois dans une même page ou dans un ensemble de pages est-elle cohérente ?</t>
        </is>
      </c>
      <c r="E74" s="6" t="inlineStr">
        <is>
          <t>C</t>
        </is>
      </c>
      <c r="F74" s="5" t="inlineStr">
        <is>
          <t>Étiquettes cohérentes d’une page à l’autre (Titre, Série, Lieu, Date, Photographe).</t>
        </is>
      </c>
      <c r="G74" s="5" t="inlineStr"/>
      <c r="H74" t="inlineStr">
        <is>
          <t>NT</t>
        </is>
      </c>
    </row>
    <row r="75">
      <c r="A75" t="inlineStr">
        <is>
          <t>11.4</t>
        </is>
      </c>
      <c r="B75" t="inlineStr">
        <is>
          <t>Formulaires</t>
        </is>
      </c>
      <c r="C75" t="inlineStr">
        <is>
          <t>A</t>
        </is>
      </c>
      <c r="D75" s="5" t="inlineStr">
        <is>
          <t>Dans chaque formulaire, chaque étiquette de champ et son champ associé sont-ils accolés (hors cas particuliers) ?</t>
        </is>
      </c>
      <c r="E75" s="6" t="inlineStr">
        <is>
          <t>C</t>
        </is>
      </c>
      <c r="F75" s="5" t="inlineStr">
        <is>
          <t>Étiquettes accolées aux champs.</t>
        </is>
      </c>
      <c r="G75" s="5" t="inlineStr"/>
      <c r="H75" t="inlineStr">
        <is>
          <t>NT</t>
        </is>
      </c>
    </row>
    <row r="76">
      <c r="A76" t="inlineStr">
        <is>
          <t>11.5</t>
        </is>
      </c>
      <c r="B76" t="inlineStr">
        <is>
          <t>Formulaires</t>
        </is>
      </c>
      <c r="C76" t="inlineStr">
        <is>
          <t>A</t>
        </is>
      </c>
      <c r="D76" s="5" t="inlineStr">
        <is>
          <t>Dans chaque formulaire, les champs de même nature sont-ils regroupés, si nécessaire ?</t>
        </is>
      </c>
      <c r="E76" s="8" t="inlineStr">
        <is>
          <t>NC</t>
        </is>
      </c>
      <c r="F76" s="5" t="inlineStr">
        <is>
          <t>App de terrain : les quatre cases d’usage (« sur le site », « sur Instagram », « en exposition et en tirage », « avec mon prénom ») ne sont pas regroupées sous « J’accepte, pour : » ; elles sont mêlées aux boutons radio de la décision.</t>
        </is>
      </c>
      <c r="G76" s="5" t="inlineStr">
        <is>
          <t>t8-noms.txt (appEn) ; views/admin/app.eta:63-71</t>
        </is>
      </c>
      <c r="H76" t="inlineStr">
        <is>
          <t>NT</t>
        </is>
      </c>
    </row>
    <row r="77">
      <c r="A77" t="inlineStr">
        <is>
          <t>11.6</t>
        </is>
      </c>
      <c r="B77" t="inlineStr">
        <is>
          <t>Formulaires</t>
        </is>
      </c>
      <c r="C77" t="inlineStr">
        <is>
          <t>A</t>
        </is>
      </c>
      <c r="D77" s="5" t="inlineStr">
        <is>
          <t>Dans chaque formulaire, chaque regroupement de champs de même nature a-t-il une légende ?</t>
        </is>
      </c>
      <c r="E77" s="6" t="inlineStr">
        <is>
          <t>C</t>
        </is>
      </c>
      <c r="F77" s="5" t="inlineStr">
        <is>
          <t>Les regroupements existants ont une légende (Statut, Filigrane, Langue, Décision, Âge).</t>
        </is>
      </c>
      <c r="G77" s="5" t="inlineStr"/>
      <c r="H77" t="inlineStr">
        <is>
          <t>NT</t>
        </is>
      </c>
    </row>
    <row r="78">
      <c r="A78" t="inlineStr">
        <is>
          <t>11.7</t>
        </is>
      </c>
      <c r="B78" t="inlineStr">
        <is>
          <t>Formulaires</t>
        </is>
      </c>
      <c r="C78" t="inlineStr">
        <is>
          <t>A</t>
        </is>
      </c>
      <c r="D78" s="5" t="inlineStr">
        <is>
          <t>Dans chaque formulaire, chaque légende associée à un regroupement de champs de même nature est-elle pertinente ?</t>
        </is>
      </c>
      <c r="E78" s="8" t="inlineStr">
        <is>
          <t>NC</t>
        </is>
      </c>
      <c r="F78" s="5" t="inlineStr">
        <is>
          <t>App de terrain : légende « Âge » sur un groupe qui contient aussi « Nom du parent » ; légendes en français quand le formulaire est affiché en anglais ou en allemand.</t>
        </is>
      </c>
      <c r="G78" s="5" t="inlineStr">
        <is>
          <t>views/admin/app.eta:54,64,76</t>
        </is>
      </c>
      <c r="H78" t="inlineStr">
        <is>
          <t>NT</t>
        </is>
      </c>
    </row>
    <row r="79">
      <c r="A79" t="inlineStr">
        <is>
          <t>11.8</t>
        </is>
      </c>
      <c r="B79" t="inlineStr">
        <is>
          <t>Formulaires</t>
        </is>
      </c>
      <c r="C79" t="inlineStr">
        <is>
          <t>A</t>
        </is>
      </c>
      <c r="D79" s="5" t="inlineStr">
        <is>
          <t>Dans chaque formulaire, les items de même nature d’une liste de choix sont-ils regroupés de manière pertinente ?</t>
        </is>
      </c>
      <c r="E79" s="6" t="inlineStr">
        <is>
          <t>C</t>
        </is>
      </c>
      <c r="F79" s="5" t="inlineStr">
        <is>
          <t>Listes courtes, sans regroupement d’options nécessaire.</t>
        </is>
      </c>
      <c r="G79" s="5" t="inlineStr"/>
      <c r="H79" t="inlineStr">
        <is>
          <t>NT</t>
        </is>
      </c>
    </row>
    <row r="80">
      <c r="A80" t="inlineStr">
        <is>
          <t>11.9</t>
        </is>
      </c>
      <c r="B80" t="inlineStr">
        <is>
          <t>Formulaires</t>
        </is>
      </c>
      <c r="C80" t="inlineStr">
        <is>
          <t>A</t>
        </is>
      </c>
      <c r="D80" s="5" t="inlineStr">
        <is>
          <t>Dans chaque formulaire, l’intitulé de chaque bouton est-il pertinent (hors cas particuliers) ?</t>
        </is>
      </c>
      <c r="E80" s="6" t="inlineStr">
        <is>
          <t>C</t>
        </is>
      </c>
      <c r="F80" s="5" t="inlineStr">
        <is>
          <t>Intitulés de boutons pertinents (« Publier les 3 », « Supprimer « Rue » », « Classer dans « Rue » »).</t>
        </is>
      </c>
      <c r="G80" s="5" t="inlineStr"/>
      <c r="H80" t="inlineStr">
        <is>
          <t>NT</t>
        </is>
      </c>
    </row>
    <row r="81">
      <c r="A81" t="inlineStr">
        <is>
          <t>11.10</t>
        </is>
      </c>
      <c r="B81" t="inlineStr">
        <is>
          <t>Formulaires</t>
        </is>
      </c>
      <c r="C81" t="inlineStr">
        <is>
          <t>A</t>
        </is>
      </c>
      <c r="D81" s="5" t="inlineStr">
        <is>
          <t>Dans chaque formulaire, le contrôle de saisie est-il utilisé de manière pertinente (hors cas particuliers) ?</t>
        </is>
      </c>
      <c r="E81" s="8" t="inlineStr">
        <is>
          <t>NC</t>
        </is>
      </c>
      <c r="F81" s="5" t="inlineStr">
        <is>
          <t>11.10.2 : champs obligatoires (required) sans indication visible : « Titre » de la fiche photo (formulaire d’une quinzaine de champs, les facultatifs non signalés), « Nom » des photographes. 11.10.7 : date invalide dans l’inspecteur : aria-invalid posé, mais le format attendu n’est que dans le placeholder (masqué par la saisie) et le message d’erreur dans un toast à 710 px du champ, effacé après 6 s ; « compris : avr. 2023 » reste affiché à côté de la saisie refusée. Fiche complète : erreurs reliées (aria-describedby) et annoncées (role="alert") : conformes.</t>
        </is>
      </c>
      <c r="G81" s="5" t="inlineStr">
        <is>
          <t>t2-phototheque.json (inspError) ; t3-dialogues.json (fiche) ; captures/t2-erreur-inspecteur.png ; views/admin/photo.eta:46 ; photos.eta:153</t>
        </is>
      </c>
      <c r="H81" t="inlineStr">
        <is>
          <t>NT</t>
        </is>
      </c>
    </row>
    <row r="82">
      <c r="A82" t="inlineStr">
        <is>
          <t>11.11</t>
        </is>
      </c>
      <c r="B82" t="inlineStr">
        <is>
          <t>Formulaires</t>
        </is>
      </c>
      <c r="C82" t="inlineStr">
        <is>
          <t>AA</t>
        </is>
      </c>
      <c r="D82" s="5" t="inlineStr">
        <is>
          <t>Dans chaque formulaire, le contrôle de saisie est-il accompagné, si nécessaire, de suggestions facilitant la correction des erreurs de saisie ?</t>
        </is>
      </c>
      <c r="E82" s="6" t="inlineStr">
        <is>
          <t>C</t>
        </is>
      </c>
      <c r="F82" s="5" t="inlineStr">
        <is>
          <t>Messages avec exemples : « Date non comprise : essayez « oct. 2026 », « 10/2026 » ou « 2026-10 ». »</t>
        </is>
      </c>
      <c r="G82" s="5" t="inlineStr">
        <is>
          <t>t3-dialogues.json</t>
        </is>
      </c>
      <c r="H82" t="inlineStr">
        <is>
          <t>NT</t>
        </is>
      </c>
    </row>
    <row r="83">
      <c r="A83" t="inlineStr">
        <is>
          <t>11.12</t>
        </is>
      </c>
      <c r="B83" t="inlineStr">
        <is>
          <t>Formulaires</t>
        </is>
      </c>
      <c r="C83" t="inlineStr">
        <is>
          <t>AA</t>
        </is>
      </c>
      <c r="D83" s="5" t="inlineStr">
        <is>
          <t>Pour chaque formulaire qui modifie ou supprime des données, ou qui transmet des réponses à un test ou à un examen, ou dont la validation a des conséquences financières ou juridiques, les données saisies peuvent-elles être modifiées, mises à jour ou récupérées par l’utilisateur ?</t>
        </is>
      </c>
      <c r="E83" s="6" t="inlineStr">
        <is>
          <t>C</t>
        </is>
      </c>
      <c r="F83" s="5" t="inlineStr">
        <is>
          <t>Suppressions confirmées par une fenêtre ; actions groupées annulables (« Annuler » 10 s, ⌘Z) ; publication réversible (Dépublier).</t>
        </is>
      </c>
      <c r="G83" s="5" t="inlineStr"/>
      <c r="H83" t="inlineStr">
        <is>
          <t>NT</t>
        </is>
      </c>
    </row>
    <row r="84">
      <c r="A84" t="inlineStr">
        <is>
          <t>11.13</t>
        </is>
      </c>
      <c r="B84" t="inlineStr">
        <is>
          <t>Formulaires</t>
        </is>
      </c>
      <c r="C84" t="inlineStr">
        <is>
          <t>AA</t>
        </is>
      </c>
      <c r="D84" s="5" t="inlineStr">
        <is>
          <t>La finalité d’un champ de saisie peut-elle être déduite pour faciliter le remplissage automatique des champs avec les données de l’utilisateur ?</t>
        </is>
      </c>
      <c r="E84" s="8" t="inlineStr">
        <is>
          <t>NC</t>
        </is>
      </c>
      <c r="F84" s="5" t="inlineStr">
        <is>
          <t>App de terrain : « Prénom et nom » et « E-mail » de la personne qui remplit le formulaire en autocomplete="off". Les champs signalés par la sonde dans l’admin (noms de séries, lieux, voyages) ne concernent pas l’utilisateur : faux positifs.</t>
        </is>
      </c>
      <c r="G84" s="5" t="inlineStr">
        <is>
          <t>views/admin/app.eta:72-73 ; t8-noms.txt</t>
        </is>
      </c>
      <c r="H84" t="inlineStr">
        <is>
          <t>NC</t>
        </is>
      </c>
    </row>
    <row r="85">
      <c r="A85" t="inlineStr">
        <is>
          <t>12.1</t>
        </is>
      </c>
      <c r="B85" t="inlineStr">
        <is>
          <t>Navigation</t>
        </is>
      </c>
      <c r="C85" t="inlineStr">
        <is>
          <t>AA</t>
        </is>
      </c>
      <c r="D85" s="5" t="inlineStr">
        <is>
          <t>Chaque ensemble de pages dispose-t-il de deux systèmes de navigation différents, au moins (hors cas particuliers) ?</t>
        </is>
      </c>
      <c r="E85" s="6" t="inlineStr">
        <is>
          <t>C</t>
        </is>
      </c>
      <c r="F85" s="5" t="inlineStr">
        <is>
          <t>Deux systèmes : menu et palette de recherche ⌘K (accessible aussi au toucher par « Rechercher, agir… »).</t>
        </is>
      </c>
      <c r="G85" s="5" t="inlineStr"/>
      <c r="H85" t="inlineStr">
        <is>
          <t>NT</t>
        </is>
      </c>
    </row>
    <row r="86">
      <c r="A86" t="inlineStr">
        <is>
          <t>12.2</t>
        </is>
      </c>
      <c r="B86" t="inlineStr">
        <is>
          <t>Navigation</t>
        </is>
      </c>
      <c r="C86" t="inlineStr">
        <is>
          <t>AA</t>
        </is>
      </c>
      <c r="D86" s="5" t="inlineStr">
        <is>
          <t>Dans chaque ensemble de pages, le menu et les barres de navigation sont-ils toujours à la même place (hors cas particuliers) ?</t>
        </is>
      </c>
      <c r="E86" s="6" t="inlineStr">
        <is>
          <t>C</t>
        </is>
      </c>
      <c r="F86" s="5" t="inlineStr">
        <is>
          <t>Menu et barre d’onglets identiques sur toutes les pages.</t>
        </is>
      </c>
      <c r="G86" s="5" t="inlineStr"/>
      <c r="H86" t="inlineStr">
        <is>
          <t>NT</t>
        </is>
      </c>
    </row>
    <row r="87">
      <c r="A87" t="inlineStr">
        <is>
          <t>12.3</t>
        </is>
      </c>
      <c r="B87" t="inlineStr">
        <is>
          <t>Navigation</t>
        </is>
      </c>
      <c r="C87" t="inlineStr">
        <is>
          <t>AA</t>
        </is>
      </c>
      <c r="D87" s="5" t="inlineStr">
        <is>
          <t>La page « plan du site » est-elle pertinente ?</t>
        </is>
      </c>
      <c r="E87" s="7" t="inlineStr">
        <is>
          <t>NA</t>
        </is>
      </c>
      <c r="F87" s="5" t="inlineStr">
        <is>
          <t>Pas de plan du site (12.1 satisfait autrement).</t>
        </is>
      </c>
      <c r="G87" s="5" t="inlineStr"/>
      <c r="H87" t="inlineStr">
        <is>
          <t>NT</t>
        </is>
      </c>
    </row>
    <row r="88">
      <c r="A88" t="inlineStr">
        <is>
          <t>12.4</t>
        </is>
      </c>
      <c r="B88" t="inlineStr">
        <is>
          <t>Navigation</t>
        </is>
      </c>
      <c r="C88" t="inlineStr">
        <is>
          <t>AA</t>
        </is>
      </c>
      <c r="D88" s="5" t="inlineStr">
        <is>
          <t>Dans chaque ensemble de pages, la page « plan du site » est-elle accessible à partir d’une fonctionnalité identique ?</t>
        </is>
      </c>
      <c r="E88" s="7" t="inlineStr">
        <is>
          <t>NA</t>
        </is>
      </c>
      <c r="F88" s="5" t="inlineStr">
        <is>
          <t>Pas de plan du site.</t>
        </is>
      </c>
      <c r="G88" s="5" t="inlineStr"/>
      <c r="H88" t="inlineStr">
        <is>
          <t>NT</t>
        </is>
      </c>
    </row>
    <row r="89">
      <c r="A89" t="inlineStr">
        <is>
          <t>12.5</t>
        </is>
      </c>
      <c r="B89" t="inlineStr">
        <is>
          <t>Navigation</t>
        </is>
      </c>
      <c r="C89" t="inlineStr">
        <is>
          <t>AA</t>
        </is>
      </c>
      <c r="D89" s="5" t="inlineStr">
        <is>
          <t>Dans chaque ensemble de pages, le moteur de recherche est-il atteignable de manière identique ?</t>
        </is>
      </c>
      <c r="E89" s="6" t="inlineStr">
        <is>
          <t>C</t>
        </is>
      </c>
      <c r="F89" s="5" t="inlineStr">
        <is>
          <t>Palette atteignable au même endroit (barre latérale, menu mobile).</t>
        </is>
      </c>
      <c r="G89" s="5" t="inlineStr"/>
      <c r="H89" t="inlineStr">
        <is>
          <t>NT</t>
        </is>
      </c>
    </row>
    <row r="90">
      <c r="A90" t="inlineStr">
        <is>
          <t>12.6</t>
        </is>
      </c>
      <c r="B90" t="inlineStr">
        <is>
          <t>Navigation</t>
        </is>
      </c>
      <c r="C90" t="inlineStr">
        <is>
          <t>A</t>
        </is>
      </c>
      <c r="D90" s="5" t="inlineStr">
        <is>
          <t>Les zones de regroupement de contenus présentes dans plusieurs pages web (zones d’en-tête, de navigation principale, de contenu principal, de pied de page et de moteur de recherche) peuvent-elles être atteintes ou évitées ?</t>
        </is>
      </c>
      <c r="E90" s="8" t="inlineStr">
        <is>
          <t>NC</t>
        </is>
      </c>
      <c r="F90" s="5" t="inlineStr">
        <is>
          <t>App de terrain /admin/rencontre et planche de cartes : pas de zone de contenu principal (main).</t>
        </is>
      </c>
      <c r="G90" s="5" t="inlineStr">
        <is>
          <t>axe landmark-one-main ; t8-noms.txt</t>
        </is>
      </c>
      <c r="H90" t="inlineStr">
        <is>
          <t>NC</t>
        </is>
      </c>
    </row>
    <row r="91">
      <c r="A91" t="inlineStr">
        <is>
          <t>12.7</t>
        </is>
      </c>
      <c r="B91" t="inlineStr">
        <is>
          <t>Navigation</t>
        </is>
      </c>
      <c r="C91" t="inlineStr">
        <is>
          <t>AA</t>
        </is>
      </c>
      <c r="D91" s="5" t="inlineStr">
        <is>
          <t>Dans chaque page web, un lien d’évitement ou d’accès rapide à la zone de contenu principal est-il présent (hors cas particuliers) ?</t>
        </is>
      </c>
      <c r="E91" s="8" t="inlineStr">
        <is>
          <t>NC</t>
        </is>
      </c>
      <c r="F91" s="5" t="inlineStr">
        <is>
          <t>Admin : lien « Aller au contenu » conforme (1re tabulation, Entrée → main ; 20 tabulations jusqu’à la 1re vignette au lieu de 50). App de terrain (/admin/rencontre, /accueil, /qr) : aucun lien d’évitement.</t>
        </is>
      </c>
      <c r="G91" s="5" t="inlineStr">
        <is>
          <t>t1-global.json ; sonde skip_link</t>
        </is>
      </c>
      <c r="H91" t="inlineStr">
        <is>
          <t>NC</t>
        </is>
      </c>
    </row>
    <row r="92">
      <c r="A92" t="inlineStr">
        <is>
          <t>12.8</t>
        </is>
      </c>
      <c r="B92" t="inlineStr">
        <is>
          <t>Navigation</t>
        </is>
      </c>
      <c r="C92" t="inlineStr">
        <is>
          <t>A</t>
        </is>
      </c>
      <c r="D92" s="5" t="inlineStr">
        <is>
          <t>Dans chaque page web, l’ordre de tabulation est-il cohérent ?</t>
        </is>
      </c>
      <c r="E92" s="8" t="inlineStr">
        <is>
          <t>NC</t>
        </is>
      </c>
      <c r="F92" s="5" t="inlineStr">
        <is>
          <t>Téléphone : avec le menu ouvert (panneau de 280 px), la tabulation passe du menu au contenu caché dessous sans le fermer (« ＋ Importer des photos », filtres…) ; avec une photo choisie, la tabulation parcourt les vignettes cachées sous la feuille de l’inspecteur avant d’atteindre la feuille.</t>
        </is>
      </c>
      <c r="G92" s="5" t="inlineStr">
        <is>
          <t>t4-mobile.json (menu, inspectorSheet) ; captures/t4-mobile-menu-tab.png</t>
        </is>
      </c>
      <c r="H92" t="inlineStr">
        <is>
          <t>NT</t>
        </is>
      </c>
    </row>
    <row r="93">
      <c r="A93" t="inlineStr">
        <is>
          <t>12.9</t>
        </is>
      </c>
      <c r="B93" t="inlineStr">
        <is>
          <t>Navigation</t>
        </is>
      </c>
      <c r="C93" t="inlineStr">
        <is>
          <t>A</t>
        </is>
      </c>
      <c r="D93" s="5" t="inlineStr">
        <is>
          <t>Dans chaque page web, la navigation ne doit pas contenir de piège au clavier. Cette règle est-elle respectée ?</t>
        </is>
      </c>
      <c r="E93" s="6" t="inlineStr">
        <is>
          <t>C</t>
        </is>
      </c>
      <c r="F93" s="5" t="inlineStr">
        <is>
          <t>Aucun piège : loupe et fenêtres se ferment par Échap.</t>
        </is>
      </c>
      <c r="G93" s="5" t="inlineStr">
        <is>
          <t>t2-phototheque.json (keyL)</t>
        </is>
      </c>
      <c r="H93" t="inlineStr">
        <is>
          <t>NT</t>
        </is>
      </c>
    </row>
    <row r="94">
      <c r="A94" t="inlineStr">
        <is>
          <t>12.10</t>
        </is>
      </c>
      <c r="B94" t="inlineStr">
        <is>
          <t>Navigation</t>
        </is>
      </c>
      <c r="C94" t="inlineStr">
        <is>
          <t>A</t>
        </is>
      </c>
      <c r="D94" s="5" t="inlineStr">
        <is>
          <t>Dans chaque page web, les raccourcis clavier n’utilisant qu’une seule touche (lettre minuscule ou majuscule, ponctuation, chiffre ou symbole) sont-ils contrôlables par l’utilisateur ?</t>
        </is>
      </c>
      <c r="E94" s="8" t="inlineStr">
        <is>
          <t>NC</t>
        </is>
      </c>
      <c r="F94" s="5" t="inlineStr">
        <is>
          <t>Photothèque : raccourcis d’une seule touche actifs dès que le focus n’est pas dans un champ texte (y compris sur une case à cocher) : P publie la sélection (vérifié : la photo n°23 publiée par la seule touche P), I ouvre l’import, L et Espace ouvrent la loupe. Aucun moyen de les désactiver ni de les remapper.</t>
        </is>
      </c>
      <c r="G94" s="5" t="inlineStr">
        <is>
          <t>t2-phototheque.json (keyP) ; admin.js:1545-1565 ; photos.eta:133-139</t>
        </is>
      </c>
      <c r="H94" t="inlineStr">
        <is>
          <t>NT</t>
        </is>
      </c>
    </row>
    <row r="95">
      <c r="A95" t="inlineStr">
        <is>
          <t>12.11</t>
        </is>
      </c>
      <c r="B95" t="inlineStr">
        <is>
          <t>Navigation</t>
        </is>
      </c>
      <c r="C95" t="inlineStr">
        <is>
          <t>A</t>
        </is>
      </c>
      <c r="D95" s="5" t="inlineStr">
        <is>
          <t>Dans chaque page web, les contenus additionnels apparaissant au survol, à la prise de focus ou à l’activation d’un composant d’interface sont-ils si nécessaire atteignables au clavier ?</t>
        </is>
      </c>
      <c r="E95" s="6" t="inlineStr">
        <is>
          <t>C</t>
        </is>
      </c>
      <c r="F95" s="5" t="inlineStr">
        <is>
          <t>Menus « ⋯ », langue, renommer : atteignables et utilisables au clavier.</t>
        </is>
      </c>
      <c r="G95" s="5" t="inlineStr">
        <is>
          <t>t3-dialogues.json (menuTabs)</t>
        </is>
      </c>
      <c r="H95" t="inlineStr">
        <is>
          <t>NT</t>
        </is>
      </c>
    </row>
    <row r="96">
      <c r="A96" t="inlineStr">
        <is>
          <t>13.1</t>
        </is>
      </c>
      <c r="B96" t="inlineStr">
        <is>
          <t>Consultation</t>
        </is>
      </c>
      <c r="C96" t="inlineStr">
        <is>
          <t>A</t>
        </is>
      </c>
      <c r="D96" s="5" t="inlineStr">
        <is>
          <t>Pour chaque page web, l’utilisateur a-t-il le contrôle de chaque limite de temps modifiant le contenu (hors cas particuliers) ?</t>
        </is>
      </c>
      <c r="E96" s="8" t="inlineStr">
        <is>
          <t>NC</t>
        </is>
      </c>
      <c r="F96" s="5" t="inlineStr">
        <is>
          <t>Rechargement automatique de la page par un script, sans avertissement ni moyen de l’arrêter (traité comme une redirection automatique par script, test 13.1.3 ; WCAG 2.2.1, technique d’échec F41) : fiche photo dès que la description suggérée arrive (la légende en cours de saisie est perdue, vérifié par interception), Séries quand l’état des propositions change, Instagram 2,5 s après un envoi. Session limitée à 24 h (≥ 20 h : conforme).</t>
        </is>
      </c>
      <c r="G96" s="5" t="inlineStr">
        <is>
          <t>t3-dialogues.json (autoReload) ; admin.js:934, 1802, 2031-2044 ; server/sessions.js:4</t>
        </is>
      </c>
      <c r="H96" t="inlineStr">
        <is>
          <t>NT</t>
        </is>
      </c>
    </row>
    <row r="97">
      <c r="A97" t="inlineStr">
        <is>
          <t>13.2</t>
        </is>
      </c>
      <c r="B97" t="inlineStr">
        <is>
          <t>Consultation</t>
        </is>
      </c>
      <c r="C97" t="inlineStr">
        <is>
          <t>A</t>
        </is>
      </c>
      <c r="D97" s="5" t="inlineStr">
        <is>
          <t>Dans chaque page web, l’ouverture d’une nouvelle fenêtre ne doit pas être déclenchée sans action de l’utilisateur. Cette règle est-elle respectée ?</t>
        </is>
      </c>
      <c r="E97" s="6" t="inlineStr">
        <is>
          <t>C</t>
        </is>
      </c>
      <c r="F97" s="5" t="inlineStr">
        <is>
          <t>Aucune fenêtre ouverte sans action (la fenêtre « Nouveau depuis… » est une boîte de dialogue modale dans la page, fermable par Échap).</t>
        </is>
      </c>
      <c r="G97" s="5" t="inlineStr">
        <is>
          <t>t1b-news.json</t>
        </is>
      </c>
      <c r="H97" t="inlineStr">
        <is>
          <t>NT</t>
        </is>
      </c>
    </row>
    <row r="98">
      <c r="A98" t="inlineStr">
        <is>
          <t>13.3</t>
        </is>
      </c>
      <c r="B98" t="inlineStr">
        <is>
          <t>Consultation</t>
        </is>
      </c>
      <c r="C98" t="inlineStr">
        <is>
          <t>A</t>
        </is>
      </c>
      <c r="D98" s="5" t="inlineStr">
        <is>
          <t>Dans chaque page web, chaque document bureautique en téléchargement possède-t-il, si nécessaire, une version accessible (hors cas particuliers) ?</t>
        </is>
      </c>
      <c r="E98" s="7" t="inlineStr">
        <is>
          <t>NA</t>
        </is>
      </c>
      <c r="F98" s="5" t="inlineStr">
        <is>
          <t>Pas de document bureautique en téléchargement (export .zip de données JSON et images).</t>
        </is>
      </c>
      <c r="G98" s="5" t="inlineStr"/>
      <c r="H98" t="inlineStr">
        <is>
          <t>NA</t>
        </is>
      </c>
    </row>
    <row r="99">
      <c r="A99" t="inlineStr">
        <is>
          <t>13.4</t>
        </is>
      </c>
      <c r="B99" t="inlineStr">
        <is>
          <t>Consultation</t>
        </is>
      </c>
      <c r="C99" t="inlineStr">
        <is>
          <t>A</t>
        </is>
      </c>
      <c r="D99" s="5" t="inlineStr">
        <is>
          <t>Pour chaque document bureautique ayant une version accessible, cette version offre-t-elle la même information ?</t>
        </is>
      </c>
      <c r="E99" s="7" t="inlineStr">
        <is>
          <t>NA</t>
        </is>
      </c>
      <c r="F99" s="5" t="inlineStr">
        <is>
          <t>Idem 13.3.</t>
        </is>
      </c>
      <c r="G99" s="5" t="inlineStr"/>
      <c r="H99" t="inlineStr">
        <is>
          <t>NT</t>
        </is>
      </c>
    </row>
    <row r="100">
      <c r="A100" t="inlineStr">
        <is>
          <t>13.5</t>
        </is>
      </c>
      <c r="B100" t="inlineStr">
        <is>
          <t>Consultation</t>
        </is>
      </c>
      <c r="C100" t="inlineStr">
        <is>
          <t>A</t>
        </is>
      </c>
      <c r="D100" s="5" t="inlineStr">
        <is>
          <t>Dans chaque page web, chaque contenu cryptique (art ASCII, émoticône, syntaxe cryptique) a-t-il une alternative ?</t>
        </is>
      </c>
      <c r="E100" s="6" t="inlineStr">
        <is>
          <t>C</t>
        </is>
      </c>
      <c r="F100" s="5" t="inlineStr">
        <is>
          <t>Glyphes (✦ ▲ ⏲ ↩ ⠿) masqués aux lecteurs d’écran et doublés d’un texte.</t>
        </is>
      </c>
      <c r="G100" s="5" t="inlineStr"/>
      <c r="H100" t="inlineStr">
        <is>
          <t>NT</t>
        </is>
      </c>
    </row>
    <row r="101">
      <c r="A101" t="inlineStr">
        <is>
          <t>13.6</t>
        </is>
      </c>
      <c r="B101" t="inlineStr">
        <is>
          <t>Consultation</t>
        </is>
      </c>
      <c r="C101" t="inlineStr">
        <is>
          <t>A</t>
        </is>
      </c>
      <c r="D101" s="5" t="inlineStr">
        <is>
          <t>Dans chaque page web, pour chaque contenu cryptique (art ASCII, émoticône, syntaxe cryptique) ayant une alternative, cette alternative est-elle pertinente ?</t>
        </is>
      </c>
      <c r="E101" s="6" t="inlineStr">
        <is>
          <t>C</t>
        </is>
      </c>
      <c r="F101" s="5" t="inlineStr">
        <is>
          <t>Idem 13.5.</t>
        </is>
      </c>
      <c r="G101" s="5" t="inlineStr"/>
      <c r="H101" t="inlineStr">
        <is>
          <t>NT</t>
        </is>
      </c>
    </row>
    <row r="102">
      <c r="A102" t="inlineStr">
        <is>
          <t>13.7</t>
        </is>
      </c>
      <c r="B102" t="inlineStr">
        <is>
          <t>Consultation</t>
        </is>
      </c>
      <c r="C102" t="inlineStr">
        <is>
          <t>A</t>
        </is>
      </c>
      <c r="D102" s="5" t="inlineStr">
        <is>
          <t>Dans chaque page web, les changements brusques de luminosité ou les effets de flash sont-ils correctement utilisés ?</t>
        </is>
      </c>
      <c r="E102" s="6" t="inlineStr">
        <is>
          <t>C</t>
        </is>
      </c>
      <c r="F102" s="5" t="inlineStr">
        <is>
          <t>Aucun flash.</t>
        </is>
      </c>
      <c r="G102" s="5" t="inlineStr"/>
      <c r="H102" t="inlineStr">
        <is>
          <t>NT</t>
        </is>
      </c>
    </row>
    <row r="103">
      <c r="A103" t="inlineStr">
        <is>
          <t>13.8</t>
        </is>
      </c>
      <c r="B103" t="inlineStr">
        <is>
          <t>Consultation</t>
        </is>
      </c>
      <c r="C103" t="inlineStr">
        <is>
          <t>A</t>
        </is>
      </c>
      <c r="D103" s="5" t="inlineStr">
        <is>
          <t>Dans chaque page web, chaque contenu en mouvement ou clignotant est-il contrôlable par l’utilisateur ?</t>
        </is>
      </c>
      <c r="E103" s="6" t="inlineStr">
        <is>
          <t>C</t>
        </is>
      </c>
      <c r="F103" s="5" t="inlineStr">
        <is>
          <t>Seul mouvement automatique : l’indicateur de traitement, arrêté par prefers-reduced-motion.</t>
        </is>
      </c>
      <c r="G103" s="5" t="inlineStr">
        <is>
          <t>admin.css:535-537</t>
        </is>
      </c>
      <c r="H103" t="inlineStr">
        <is>
          <t>NT</t>
        </is>
      </c>
    </row>
    <row r="104">
      <c r="A104" t="inlineStr">
        <is>
          <t>13.9</t>
        </is>
      </c>
      <c r="B104" t="inlineStr">
        <is>
          <t>Consultation</t>
        </is>
      </c>
      <c r="C104" t="inlineStr">
        <is>
          <t>AA</t>
        </is>
      </c>
      <c r="D104" s="5" t="inlineStr">
        <is>
          <t>Dans chaque page web, le contenu proposé est-il consultable quelle que soit l’orientation de l’écran (portrait ou paysage) (hors cas particuliers) ?</t>
        </is>
      </c>
      <c r="E104" s="6" t="inlineStr">
        <is>
          <t>C</t>
        </is>
      </c>
      <c r="F104" s="5" t="inlineStr">
        <is>
          <t>Aucune orientation imposée (manifeste de l’app sans « orientation »).</t>
        </is>
      </c>
      <c r="G104" s="5" t="inlineStr">
        <is>
          <t>server/routes/public.js:86-92</t>
        </is>
      </c>
      <c r="H104" t="inlineStr">
        <is>
          <t>NT</t>
        </is>
      </c>
    </row>
    <row r="105">
      <c r="A105" t="inlineStr">
        <is>
          <t>13.10</t>
        </is>
      </c>
      <c r="B105" t="inlineStr">
        <is>
          <t>Consultation</t>
        </is>
      </c>
      <c r="C105" t="inlineStr">
        <is>
          <t>A</t>
        </is>
      </c>
      <c r="D105" s="5" t="inlineStr">
        <is>
          <t>Dans chaque page web, les fonctionnalités utilisables ou disponibles au moyen d’un geste complexe peuvent-elles être également disponibles au moyen d’un geste simple (hors cas particuliers) ?</t>
        </is>
      </c>
      <c r="E105" s="6" t="inlineStr">
        <is>
          <t>C</t>
        </is>
      </c>
      <c r="F105" s="5" t="inlineStr">
        <is>
          <t>Glisser-déposer toujours doublé (menu ⋯ Monter/Descendre, poignée au clavier, ← → de l’ouverture, pastilles de série, choix de fichiers) ; la signature au doigt est un tracé essentiel, et « Je ne décide pas maintenant » laisse décider plus tard sur son propre appareil.</t>
        </is>
      </c>
      <c r="G105" s="5" t="inlineStr"/>
      <c r="H105" t="inlineStr">
        <is>
          <t>NT</t>
        </is>
      </c>
    </row>
    <row r="106">
      <c r="A106" t="inlineStr">
        <is>
          <t>13.11</t>
        </is>
      </c>
      <c r="B106" t="inlineStr">
        <is>
          <t>Consultation</t>
        </is>
      </c>
      <c r="C106" t="inlineStr">
        <is>
          <t>A</t>
        </is>
      </c>
      <c r="D106" s="5" t="inlineStr">
        <is>
          <t>Dans chaque page web, les actions déclenchées au moyen d’un dispositif de pointage sur un point unique de l’écran peuvent-elles faire l’objet d’une annulation (hors cas particuliers) ?</t>
        </is>
      </c>
      <c r="E106" s="6" t="inlineStr">
        <is>
          <t>C</t>
        </is>
      </c>
      <c r="F106" s="5" t="inlineStr">
        <is>
          <t>Actions déclenchées au relâchement (clic) ; dépôt annulable.</t>
        </is>
      </c>
      <c r="G106" s="5" t="inlineStr"/>
      <c r="H106" t="inlineStr">
        <is>
          <t>NT</t>
        </is>
      </c>
    </row>
    <row r="107">
      <c r="A107" t="inlineStr">
        <is>
          <t>13.12</t>
        </is>
      </c>
      <c r="B107" t="inlineStr">
        <is>
          <t>Consultation</t>
        </is>
      </c>
      <c r="C107" t="inlineStr">
        <is>
          <t>A</t>
        </is>
      </c>
      <c r="D107" s="5" t="inlineStr">
        <is>
          <t>Dans chaque page web, les fonctionnalités qui impliquent un mouvement de l’appareil ou vers l’appareil peuvent-elles être satisfaites de manière alternative (hors cas particuliers) ?</t>
        </is>
      </c>
      <c r="E107" s="7" t="inlineStr">
        <is>
          <t>NA</t>
        </is>
      </c>
      <c r="F107" s="5" t="inlineStr">
        <is>
          <t>Aucune fonction déclenchée par le mouvement de l’appareil.</t>
        </is>
      </c>
      <c r="G107" s="5" t="inlineStr"/>
      <c r="H107" t="inlineStr">
        <is>
          <t>NT</t>
        </is>
      </c>
    </row>
  </sheetData>
  <dataValidations count="1">
    <dataValidation sqref="E2:E107" showDropDown="0" showInputMessage="0" showErrorMessage="0" allowBlank="0" type="list">
      <formula1>"C,NC,NA,NT"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3" max="3"/>
  </cols>
  <sheetData>
    <row r="1">
      <c r="A1" t="inlineStr">
        <is>
          <t>Critère</t>
        </is>
      </c>
      <c r="B1" t="inlineStr">
        <is>
          <t>Statut</t>
        </is>
      </c>
      <c r="C1" t="inlineStr">
        <is>
          <t>Constat</t>
        </is>
      </c>
    </row>
    <row r="2">
      <c r="A2" t="inlineStr">
        <is>
          <t>2.4.11 Focus non masqué (AA)</t>
        </is>
      </c>
      <c r="B2" t="inlineStr">
        <is>
          <t>NC</t>
        </is>
      </c>
      <c r="C2" t="inlineStr">
        <is>
          <t>Voir 10.7 : barre d’onglets, barre « Enregistrer » de l’app, feuille de l’inspecteur, menu ouvert (t4-mobile.json, t11-app.json).</t>
        </is>
      </c>
    </row>
    <row r="3">
      <c r="A3" t="inlineStr">
        <is>
          <t>2.5.7 Mouvements de glissement (AA)</t>
        </is>
      </c>
      <c r="B3" t="inlineStr">
        <is>
          <t>C</t>
        </is>
      </c>
      <c r="C3" t="inlineStr">
        <is>
          <t>Chaque glisser a une alternative à un seul pointeur (voir 13.10).</t>
        </is>
      </c>
    </row>
    <row r="4">
      <c r="A4" t="inlineStr">
        <is>
          <t>2.5.8 Taille des cibles minimale (AA)</t>
        </is>
      </c>
      <c r="B4" t="inlineStr">
        <is>
          <t>NC</t>
        </is>
      </c>
      <c r="C4" t="inlineStr">
        <is>
          <t>Téléphone, photothèque en liste : 25 cibles sur 199 trop petites et trop proches (cases 18 × 18, titres de 23 px de haut) ; cases de 18 px avec libellé de 21 px sur Droits &amp; confidentialité, Site public, fiche Personne (t5-cibles.json ; axe target-size).</t>
        </is>
      </c>
    </row>
    <row r="5">
      <c r="A5" t="inlineStr">
        <is>
          <t>3.2.6 Aide cohérente (A)</t>
        </is>
      </c>
      <c r="B5" t="inlineStr">
        <is>
          <t>C</t>
        </is>
      </c>
      <c r="C5" t="inlineStr">
        <is>
          <t>« Aide » au même rang du menu sur toutes les pages, « Aide sur cette page » en tête du contenu ; l’app de terrain n’a pas d’aide (admis).</t>
        </is>
      </c>
    </row>
    <row r="6">
      <c r="A6" t="inlineStr">
        <is>
          <t>3.3.7 Saisie redondante (A)</t>
        </is>
      </c>
      <c r="B6" t="inlineStr">
        <is>
          <t>NC</t>
        </is>
      </c>
      <c r="C6" t="inlineStr">
        <is>
          <t>App de terrain : après une erreur de validation, la signature et la photo de repère sont perdues et doivent être refaites (server/routes/rencontres.js:222, values: { ...body, signature: '' } ; portrait non conservé).</t>
        </is>
      </c>
    </row>
    <row r="7">
      <c r="A7" t="inlineStr">
        <is>
          <t>3.3.8 Authentification accessible (AA)</t>
        </is>
      </c>
      <c r="B7" t="inlineStr">
        <is>
          <t>NT</t>
        </is>
      </c>
      <c r="C7" t="inlineStr">
        <is>
          <t>Connexion déléguée à Zitadel (OIDC) : page hors du site, non auditée ; vérifier clés d’accès (passkeys), collage et gestionnaires de mots de passe.</t>
        </is>
      </c>
    </row>
    <row r="8">
      <c r="A8" t="inlineStr">
        <is>
          <t>2.1.4 Raccourcis clavier (A)</t>
        </is>
      </c>
      <c r="B8" t="inlineStr">
        <is>
          <t>NC</t>
        </is>
      </c>
      <c r="C8" t="inlineStr">
        <is>
          <t>Voir 12.10.</t>
        </is>
      </c>
    </row>
    <row r="9">
      <c r="A9" t="inlineStr">
        <is>
          <t>2.2.1 Réglage du délai (A)</t>
        </is>
      </c>
      <c r="B9" t="inlineStr">
        <is>
          <t>NC</t>
        </is>
      </c>
      <c r="C9" t="inlineStr">
        <is>
          <t>Message « Annuler » de 10 s sans prolongation ; rechargements automatiques (voir 13.1).</t>
        </is>
      </c>
    </row>
    <row r="10">
      <c r="A10" t="inlineStr">
        <is>
          <t>4.1.3 Messages d’état (AA)</t>
        </is>
      </c>
      <c r="B10" t="inlineStr">
        <is>
          <t>NC</t>
        </is>
      </c>
      <c r="C10" t="inlineStr">
        <is>
          <t>Voir 7.5.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80" customWidth="1" min="3" max="3"/>
  </cols>
  <sheetData>
    <row r="1">
      <c r="A1" t="inlineStr">
        <is>
          <t>Écran</t>
        </is>
      </c>
      <c r="B1" t="inlineStr">
        <is>
          <t>Adresse</t>
        </is>
      </c>
      <c r="C1" t="inlineStr">
        <is>
          <t>Tests</t>
        </is>
      </c>
    </row>
    <row r="2">
      <c r="A2" t="inlineStr">
        <is>
          <t>Aujourd’hui</t>
        </is>
      </c>
      <c r="B2" t="inlineStr">
        <is>
          <t>/admin</t>
        </is>
      </c>
      <c r="C2" t="inlineStr">
        <is>
          <t>fenêtre « Nouveau depuis… », lien d’évitement, ordre de tabulation</t>
        </is>
      </c>
    </row>
    <row r="3">
      <c r="A3" t="inlineStr">
        <is>
          <t>Photothèque</t>
        </is>
      </c>
      <c r="B3" t="inlineStr">
        <is>
          <t>/admin/photos, ?vue=liste, ?statut=draft</t>
        </is>
      </c>
      <c r="C3" t="inlineStr">
        <is>
          <t>planche, liste, sélection clavier, raccourcis, inspecteur (une / plusieurs photos), loupe, import, filtres</t>
        </is>
      </c>
    </row>
    <row r="4">
      <c r="A4" t="inlineStr">
        <is>
          <t>Fiche photo</t>
        </is>
      </c>
      <c r="B4" t="inlineStr">
        <is>
          <t>/admin/photos/20, /admin/photos/24</t>
        </is>
      </c>
      <c r="C4" t="inlineStr">
        <is>
          <t>erreurs à l’envoi, champ obligatoire, rechargement automatique</t>
        </is>
      </c>
    </row>
    <row r="5">
      <c r="A5" t="inlineStr">
        <is>
          <t>Compléter et publier</t>
        </is>
      </c>
      <c r="B5" t="inlineStr">
        <is>
          <t>/admin/photos/lot?ids=24,25,26</t>
        </is>
      </c>
      <c r="C5" t="inlineStr">
        <is>
          <t>barre d’actions au clavier, libellés</t>
        </is>
      </c>
    </row>
    <row r="6">
      <c r="A6" t="inlineStr">
        <is>
          <t>Sorties</t>
        </is>
      </c>
      <c r="B6" t="inlineStr">
        <is>
          <t>/admin/sorties, /admin/sorties/julien/2026-10-10</t>
        </is>
      </c>
      <c r="C6" t="inlineStr">
        <is>
          <t>grille automatique, cibles</t>
        </is>
      </c>
    </row>
    <row r="7">
      <c r="A7" t="inlineStr">
        <is>
          <t>À valider</t>
        </is>
      </c>
      <c r="B7" t="inlineStr">
        <is>
          <t>/admin/a-valider</t>
        </is>
      </c>
      <c r="C7" t="inlineStr">
        <is>
          <t>grille automatique</t>
        </is>
      </c>
    </row>
    <row r="8">
      <c r="A8" t="inlineStr">
        <is>
          <t>Séries</t>
        </is>
      </c>
      <c r="B8" t="inlineStr">
        <is>
          <t>/admin/series</t>
        </is>
      </c>
      <c r="C8" t="inlineStr">
        <is>
          <t>poignée au clavier, menu ⋯, fenêtre de suppression</t>
        </is>
      </c>
    </row>
    <row r="9">
      <c r="A9" t="inlineStr">
        <is>
          <t>Personnes</t>
        </is>
      </c>
      <c r="B9" t="inlineStr">
        <is>
          <t>/admin/personnes, /admin/personnes/1, /admin/rencontres/1</t>
        </is>
      </c>
      <c r="C9" t="inlineStr">
        <is>
          <t>liens, cibles</t>
        </is>
      </c>
    </row>
    <row r="10">
      <c r="A10" t="inlineStr">
        <is>
          <t>Site public</t>
        </is>
      </c>
      <c r="B10" t="inlineStr">
        <is>
          <t>/admin/site</t>
        </is>
      </c>
      <c r="C10" t="inlineStr">
        <is>
          <t>cibles, liens</t>
        </is>
      </c>
    </row>
    <row r="11">
      <c r="A11" t="inlineStr">
        <is>
          <t>Voyage</t>
        </is>
      </c>
      <c r="B11" t="inlineStr">
        <is>
          <t>/admin/voyages/1</t>
        </is>
      </c>
      <c r="C11" t="inlineStr">
        <is>
          <t>grille automatique, cibles</t>
        </is>
      </c>
    </row>
    <row r="12">
      <c r="A12" t="inlineStr">
        <is>
          <t>App de terrain</t>
        </is>
      </c>
      <c r="B12" t="inlineStr">
        <is>
          <t>/admin/rencontre, /admin/rencontre/accueil, /admin/rencontre/qr</t>
        </is>
      </c>
      <c r="C12" t="inlineStr">
        <is>
          <t>téléphone : langue, regroupements, focus, erreurs</t>
        </is>
      </c>
    </row>
    <row r="13">
      <c r="A13" t="inlineStr">
        <is>
          <t>Terrain et cartes</t>
        </is>
      </c>
      <c r="B13" t="inlineStr">
        <is>
          <t>/admin/terrain, /admin/rencontres/cartes/planche?auteur=2</t>
        </is>
      </c>
      <c r="C13" t="inlineStr">
        <is>
          <t>structure</t>
        </is>
      </c>
    </row>
    <row r="14">
      <c r="A14" t="inlineStr">
        <is>
          <t>Pages de réglages</t>
        </is>
      </c>
      <c r="B14" t="inlineStr">
        <is>
          <t>/admin/aide, /admin/journal, /admin/nouveautes, /admin/droits, /admin/statistiques, /admin/images, /admin/apparence</t>
        </is>
      </c>
      <c r="C14" t="inlineStr">
        <is>
          <t>contrôles ciblés (axe, liens, cibles, reflow)</t>
        </is>
      </c>
    </row>
    <row r="15">
      <c r="A15" t="inlineStr">
        <is>
          <t>Transversal</t>
        </is>
      </c>
      <c r="B15" t="inlineStr">
        <is>
          <t>palette ⌘K, barre d’onglets, menu mobile, messages (toast)</t>
        </is>
      </c>
      <c r="C15" t="inlineStr">
        <is>
          <t>clavier, annonces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2026-10-16T04:53:22+00:00Z</dcterms:created>
  <dcterms:modified xmlns:dcterms="http://purl.org/dc/terms/" xmlns:xsi="http://www.w3.org/2001/XMLSchema-instance" xsi:type="dcterms:W3CDTF">2026-10-16T04:53:23+00:00Z</dcterms:modified>
</cp:coreProperties>
</file>